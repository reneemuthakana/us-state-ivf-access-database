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eneemuthakana/Downloads/"/>
    </mc:Choice>
  </mc:AlternateContent>
  <xr:revisionPtr revIDLastSave="0" documentId="13_ncr:1_{E08FEE43-48C6-514F-A34C-1084D5E32D0C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README" sheetId="1" r:id="rId1"/>
    <sheet name="data" sheetId="2" r:id="rId2"/>
    <sheet name="index_logic" sheetId="3" r:id="rId3"/>
    <sheet name="methodology" sheetId="4" r:id="rId4"/>
    <sheet name="codebook" sheetId="5" r:id="rId5"/>
  </sheets>
  <definedNames>
    <definedName name="_xlnm._FilterDatabase" localSheetId="1" hidden="1">data!$A$1:$BV$51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51" i="2" l="1"/>
  <c r="BR51" i="2"/>
  <c r="BQ51" i="2"/>
  <c r="BP51" i="2"/>
  <c r="BO51" i="2"/>
  <c r="BN51" i="2"/>
  <c r="BM51" i="2"/>
  <c r="BT51" i="2" s="1"/>
  <c r="BL51" i="2"/>
  <c r="BR50" i="2"/>
  <c r="BQ50" i="2"/>
  <c r="BP50" i="2"/>
  <c r="BO50" i="2"/>
  <c r="BN50" i="2"/>
  <c r="BM50" i="2"/>
  <c r="BT50" i="2" s="1"/>
  <c r="BL50" i="2"/>
  <c r="BS50" i="2" s="1"/>
  <c r="BR49" i="2"/>
  <c r="BQ49" i="2"/>
  <c r="BP49" i="2"/>
  <c r="BO49" i="2"/>
  <c r="BN49" i="2"/>
  <c r="BM49" i="2"/>
  <c r="BT49" i="2" s="1"/>
  <c r="BL49" i="2"/>
  <c r="BS49" i="2" s="1"/>
  <c r="BR48" i="2"/>
  <c r="BQ48" i="2"/>
  <c r="BP48" i="2"/>
  <c r="BO48" i="2"/>
  <c r="BN48" i="2"/>
  <c r="BM48" i="2"/>
  <c r="BT48" i="2" s="1"/>
  <c r="BL48" i="2"/>
  <c r="BS48" i="2" s="1"/>
  <c r="BR47" i="2"/>
  <c r="BQ47" i="2"/>
  <c r="BP47" i="2"/>
  <c r="BO47" i="2"/>
  <c r="BN47" i="2"/>
  <c r="BM47" i="2"/>
  <c r="BT47" i="2" s="1"/>
  <c r="BL47" i="2"/>
  <c r="BS47" i="2" s="1"/>
  <c r="BR46" i="2"/>
  <c r="BQ46" i="2"/>
  <c r="BP46" i="2"/>
  <c r="BO46" i="2"/>
  <c r="BN46" i="2"/>
  <c r="BM46" i="2"/>
  <c r="BT46" i="2" s="1"/>
  <c r="BL46" i="2"/>
  <c r="BS46" i="2" s="1"/>
  <c r="BR45" i="2"/>
  <c r="BQ45" i="2"/>
  <c r="BP45" i="2"/>
  <c r="BO45" i="2"/>
  <c r="BN45" i="2"/>
  <c r="BU45" i="2" s="1"/>
  <c r="BM45" i="2"/>
  <c r="BT45" i="2" s="1"/>
  <c r="BL45" i="2"/>
  <c r="BS45" i="2" s="1"/>
  <c r="BR44" i="2"/>
  <c r="BQ44" i="2"/>
  <c r="BP44" i="2"/>
  <c r="BO44" i="2"/>
  <c r="BN44" i="2"/>
  <c r="BM44" i="2"/>
  <c r="BT44" i="2" s="1"/>
  <c r="BL44" i="2"/>
  <c r="BS44" i="2" s="1"/>
  <c r="BR43" i="2"/>
  <c r="BQ43" i="2"/>
  <c r="BP43" i="2"/>
  <c r="BO43" i="2"/>
  <c r="BN43" i="2"/>
  <c r="BM43" i="2"/>
  <c r="BT43" i="2" s="1"/>
  <c r="BL43" i="2"/>
  <c r="BS43" i="2" s="1"/>
  <c r="BR42" i="2"/>
  <c r="BQ42" i="2"/>
  <c r="BP42" i="2"/>
  <c r="BO42" i="2"/>
  <c r="BN42" i="2"/>
  <c r="BM42" i="2"/>
  <c r="BT42" i="2" s="1"/>
  <c r="BL42" i="2"/>
  <c r="BS42" i="2" s="1"/>
  <c r="BR41" i="2"/>
  <c r="BQ41" i="2"/>
  <c r="BP41" i="2"/>
  <c r="BO41" i="2"/>
  <c r="BN41" i="2"/>
  <c r="BM41" i="2"/>
  <c r="BT41" i="2" s="1"/>
  <c r="BL41" i="2"/>
  <c r="BS41" i="2" s="1"/>
  <c r="BR40" i="2"/>
  <c r="BQ40" i="2"/>
  <c r="BP40" i="2"/>
  <c r="BO40" i="2"/>
  <c r="BN40" i="2"/>
  <c r="BU40" i="2" s="1"/>
  <c r="BM40" i="2"/>
  <c r="BT40" i="2" s="1"/>
  <c r="BL40" i="2"/>
  <c r="BS40" i="2" s="1"/>
  <c r="BR39" i="2"/>
  <c r="BQ39" i="2"/>
  <c r="BP39" i="2"/>
  <c r="BO39" i="2"/>
  <c r="BN39" i="2"/>
  <c r="BM39" i="2"/>
  <c r="BT39" i="2" s="1"/>
  <c r="BL39" i="2"/>
  <c r="BS39" i="2" s="1"/>
  <c r="BR38" i="2"/>
  <c r="BQ38" i="2"/>
  <c r="BP38" i="2"/>
  <c r="BO38" i="2"/>
  <c r="BN38" i="2"/>
  <c r="BM38" i="2"/>
  <c r="BT38" i="2" s="1"/>
  <c r="BL38" i="2"/>
  <c r="BS38" i="2" s="1"/>
  <c r="BR37" i="2"/>
  <c r="BQ37" i="2"/>
  <c r="BP37" i="2"/>
  <c r="BO37" i="2"/>
  <c r="BN37" i="2"/>
  <c r="BM37" i="2"/>
  <c r="BT37" i="2" s="1"/>
  <c r="BL37" i="2"/>
  <c r="BS37" i="2" s="1"/>
  <c r="BR36" i="2"/>
  <c r="BQ36" i="2"/>
  <c r="BP36" i="2"/>
  <c r="BO36" i="2"/>
  <c r="BN36" i="2"/>
  <c r="BM36" i="2"/>
  <c r="BT36" i="2" s="1"/>
  <c r="BL36" i="2"/>
  <c r="BS36" i="2" s="1"/>
  <c r="BR35" i="2"/>
  <c r="BQ35" i="2"/>
  <c r="BP35" i="2"/>
  <c r="BO35" i="2"/>
  <c r="BN35" i="2"/>
  <c r="BM35" i="2"/>
  <c r="BT35" i="2" s="1"/>
  <c r="BL35" i="2"/>
  <c r="BS35" i="2" s="1"/>
  <c r="BR34" i="2"/>
  <c r="BQ34" i="2"/>
  <c r="BP34" i="2"/>
  <c r="BO34" i="2"/>
  <c r="BN34" i="2"/>
  <c r="BM34" i="2"/>
  <c r="BT34" i="2" s="1"/>
  <c r="BL34" i="2"/>
  <c r="BS34" i="2" s="1"/>
  <c r="BR33" i="2"/>
  <c r="BQ33" i="2"/>
  <c r="BP33" i="2"/>
  <c r="BO33" i="2"/>
  <c r="BN33" i="2"/>
  <c r="BU33" i="2" s="1"/>
  <c r="BM33" i="2"/>
  <c r="BT33" i="2" s="1"/>
  <c r="BL33" i="2"/>
  <c r="BS33" i="2" s="1"/>
  <c r="BR32" i="2"/>
  <c r="BQ32" i="2"/>
  <c r="BP32" i="2"/>
  <c r="BO32" i="2"/>
  <c r="BN32" i="2"/>
  <c r="BM32" i="2"/>
  <c r="BT32" i="2" s="1"/>
  <c r="BL32" i="2"/>
  <c r="BS32" i="2" s="1"/>
  <c r="BR31" i="2"/>
  <c r="BQ31" i="2"/>
  <c r="BP31" i="2"/>
  <c r="BO31" i="2"/>
  <c r="BN31" i="2"/>
  <c r="BM31" i="2"/>
  <c r="BT31" i="2" s="1"/>
  <c r="BL31" i="2"/>
  <c r="BS31" i="2" s="1"/>
  <c r="BR30" i="2"/>
  <c r="BQ30" i="2"/>
  <c r="BP30" i="2"/>
  <c r="BO30" i="2"/>
  <c r="BN30" i="2"/>
  <c r="BM30" i="2"/>
  <c r="BT30" i="2" s="1"/>
  <c r="BL30" i="2"/>
  <c r="BS30" i="2" s="1"/>
  <c r="BR29" i="2"/>
  <c r="BQ29" i="2"/>
  <c r="BP29" i="2"/>
  <c r="BO29" i="2"/>
  <c r="BN29" i="2"/>
  <c r="BM29" i="2"/>
  <c r="BT29" i="2" s="1"/>
  <c r="BL29" i="2"/>
  <c r="BS29" i="2" s="1"/>
  <c r="BR28" i="2"/>
  <c r="BQ28" i="2"/>
  <c r="BP28" i="2"/>
  <c r="BO28" i="2"/>
  <c r="BN28" i="2"/>
  <c r="BU28" i="2" s="1"/>
  <c r="BM28" i="2"/>
  <c r="BT28" i="2" s="1"/>
  <c r="BL28" i="2"/>
  <c r="BS28" i="2" s="1"/>
  <c r="BR27" i="2"/>
  <c r="BQ27" i="2"/>
  <c r="BP27" i="2"/>
  <c r="BO27" i="2"/>
  <c r="BN27" i="2"/>
  <c r="BM27" i="2"/>
  <c r="BT27" i="2" s="1"/>
  <c r="BL27" i="2"/>
  <c r="BS27" i="2" s="1"/>
  <c r="BR26" i="2"/>
  <c r="BQ26" i="2"/>
  <c r="BP26" i="2"/>
  <c r="BO26" i="2"/>
  <c r="BN26" i="2"/>
  <c r="BM26" i="2"/>
  <c r="BT26" i="2" s="1"/>
  <c r="BL26" i="2"/>
  <c r="BS26" i="2" s="1"/>
  <c r="BR25" i="2"/>
  <c r="BQ25" i="2"/>
  <c r="BP25" i="2"/>
  <c r="BO25" i="2"/>
  <c r="BN25" i="2"/>
  <c r="BM25" i="2"/>
  <c r="BT25" i="2" s="1"/>
  <c r="BL25" i="2"/>
  <c r="BS25" i="2" s="1"/>
  <c r="BR24" i="2"/>
  <c r="BQ24" i="2"/>
  <c r="BP24" i="2"/>
  <c r="BO24" i="2"/>
  <c r="BN24" i="2"/>
  <c r="BM24" i="2"/>
  <c r="BT24" i="2" s="1"/>
  <c r="BL24" i="2"/>
  <c r="BS24" i="2" s="1"/>
  <c r="BR23" i="2"/>
  <c r="BQ23" i="2"/>
  <c r="BP23" i="2"/>
  <c r="BO23" i="2"/>
  <c r="BN23" i="2"/>
  <c r="BM23" i="2"/>
  <c r="BT23" i="2" s="1"/>
  <c r="BL23" i="2"/>
  <c r="BS23" i="2" s="1"/>
  <c r="BR22" i="2"/>
  <c r="BQ22" i="2"/>
  <c r="BP22" i="2"/>
  <c r="BO22" i="2"/>
  <c r="BN22" i="2"/>
  <c r="BM22" i="2"/>
  <c r="BT22" i="2" s="1"/>
  <c r="BL22" i="2"/>
  <c r="BS22" i="2" s="1"/>
  <c r="BR21" i="2"/>
  <c r="BQ21" i="2"/>
  <c r="BP21" i="2"/>
  <c r="BO21" i="2"/>
  <c r="BN21" i="2"/>
  <c r="BU21" i="2" s="1"/>
  <c r="BM21" i="2"/>
  <c r="BT21" i="2" s="1"/>
  <c r="BL21" i="2"/>
  <c r="BS21" i="2" s="1"/>
  <c r="BR20" i="2"/>
  <c r="BQ20" i="2"/>
  <c r="BP20" i="2"/>
  <c r="BO20" i="2"/>
  <c r="BN20" i="2"/>
  <c r="BM20" i="2"/>
  <c r="BT20" i="2" s="1"/>
  <c r="BL20" i="2"/>
  <c r="BS20" i="2" s="1"/>
  <c r="BR19" i="2"/>
  <c r="BQ19" i="2"/>
  <c r="BP19" i="2"/>
  <c r="BO19" i="2"/>
  <c r="BN19" i="2"/>
  <c r="BM19" i="2"/>
  <c r="BT19" i="2" s="1"/>
  <c r="BL19" i="2"/>
  <c r="BS19" i="2" s="1"/>
  <c r="BR18" i="2"/>
  <c r="BQ18" i="2"/>
  <c r="BP18" i="2"/>
  <c r="BO18" i="2"/>
  <c r="BN18" i="2"/>
  <c r="BM18" i="2"/>
  <c r="BT18" i="2" s="1"/>
  <c r="BL18" i="2"/>
  <c r="BS18" i="2" s="1"/>
  <c r="BR17" i="2"/>
  <c r="BQ17" i="2"/>
  <c r="BP17" i="2"/>
  <c r="BO17" i="2"/>
  <c r="BN17" i="2"/>
  <c r="BM17" i="2"/>
  <c r="BT17" i="2" s="1"/>
  <c r="BL17" i="2"/>
  <c r="BS17" i="2" s="1"/>
  <c r="BR16" i="2"/>
  <c r="BQ16" i="2"/>
  <c r="BP16" i="2"/>
  <c r="BO16" i="2"/>
  <c r="BN16" i="2"/>
  <c r="BU16" i="2" s="1"/>
  <c r="BM16" i="2"/>
  <c r="BT16" i="2" s="1"/>
  <c r="BL16" i="2"/>
  <c r="BS16" i="2" s="1"/>
  <c r="BR15" i="2"/>
  <c r="BQ15" i="2"/>
  <c r="BP15" i="2"/>
  <c r="BO15" i="2"/>
  <c r="BN15" i="2"/>
  <c r="BM15" i="2"/>
  <c r="BT15" i="2" s="1"/>
  <c r="BL15" i="2"/>
  <c r="BS15" i="2" s="1"/>
  <c r="BR14" i="2"/>
  <c r="BQ14" i="2"/>
  <c r="BP14" i="2"/>
  <c r="BO14" i="2"/>
  <c r="BN14" i="2"/>
  <c r="BM14" i="2"/>
  <c r="BT14" i="2" s="1"/>
  <c r="BL14" i="2"/>
  <c r="BS14" i="2" s="1"/>
  <c r="BR13" i="2"/>
  <c r="BQ13" i="2"/>
  <c r="BP13" i="2"/>
  <c r="BO13" i="2"/>
  <c r="BN13" i="2"/>
  <c r="BM13" i="2"/>
  <c r="BT13" i="2" s="1"/>
  <c r="BL13" i="2"/>
  <c r="BS13" i="2" s="1"/>
  <c r="BR12" i="2"/>
  <c r="BQ12" i="2"/>
  <c r="BP12" i="2"/>
  <c r="BO12" i="2"/>
  <c r="BN12" i="2"/>
  <c r="BM12" i="2"/>
  <c r="BT12" i="2" s="1"/>
  <c r="BL12" i="2"/>
  <c r="BS12" i="2" s="1"/>
  <c r="BR11" i="2"/>
  <c r="BQ11" i="2"/>
  <c r="BP11" i="2"/>
  <c r="BO11" i="2"/>
  <c r="BN11" i="2"/>
  <c r="BM11" i="2"/>
  <c r="BT11" i="2" s="1"/>
  <c r="BL11" i="2"/>
  <c r="BS11" i="2" s="1"/>
  <c r="BR10" i="2"/>
  <c r="BQ10" i="2"/>
  <c r="BP10" i="2"/>
  <c r="BO10" i="2"/>
  <c r="BN10" i="2"/>
  <c r="BM10" i="2"/>
  <c r="BT10" i="2" s="1"/>
  <c r="BL10" i="2"/>
  <c r="BS10" i="2" s="1"/>
  <c r="BR9" i="2"/>
  <c r="BQ9" i="2"/>
  <c r="BP9" i="2"/>
  <c r="BO9" i="2"/>
  <c r="BN9" i="2"/>
  <c r="BU9" i="2" s="1"/>
  <c r="BM9" i="2"/>
  <c r="BT9" i="2" s="1"/>
  <c r="BL9" i="2"/>
  <c r="BS9" i="2" s="1"/>
  <c r="BR8" i="2"/>
  <c r="BQ8" i="2"/>
  <c r="BP8" i="2"/>
  <c r="BO8" i="2"/>
  <c r="BN8" i="2"/>
  <c r="BM8" i="2"/>
  <c r="BT8" i="2" s="1"/>
  <c r="BL8" i="2"/>
  <c r="BS8" i="2" s="1"/>
  <c r="BR7" i="2"/>
  <c r="BQ7" i="2"/>
  <c r="BP7" i="2"/>
  <c r="BO7" i="2"/>
  <c r="BN7" i="2"/>
  <c r="BM7" i="2"/>
  <c r="BT7" i="2" s="1"/>
  <c r="BL7" i="2"/>
  <c r="BS7" i="2" s="1"/>
  <c r="BR6" i="2"/>
  <c r="BQ6" i="2"/>
  <c r="BP6" i="2"/>
  <c r="BO6" i="2"/>
  <c r="BN6" i="2"/>
  <c r="BM6" i="2"/>
  <c r="BT6" i="2" s="1"/>
  <c r="BL6" i="2"/>
  <c r="BS6" i="2" s="1"/>
  <c r="BR5" i="2"/>
  <c r="BQ5" i="2"/>
  <c r="BP5" i="2"/>
  <c r="BO5" i="2"/>
  <c r="BN5" i="2"/>
  <c r="BM5" i="2"/>
  <c r="BT5" i="2" s="1"/>
  <c r="BL5" i="2"/>
  <c r="BS5" i="2" s="1"/>
  <c r="BR4" i="2"/>
  <c r="BQ4" i="2"/>
  <c r="BP4" i="2"/>
  <c r="BO4" i="2"/>
  <c r="BN4" i="2"/>
  <c r="BU4" i="2" s="1"/>
  <c r="BM4" i="2"/>
  <c r="BT4" i="2" s="1"/>
  <c r="BL4" i="2"/>
  <c r="BS4" i="2" s="1"/>
  <c r="BR3" i="2"/>
  <c r="BQ3" i="2"/>
  <c r="BP3" i="2"/>
  <c r="BO3" i="2"/>
  <c r="BN3" i="2"/>
  <c r="BM3" i="2"/>
  <c r="BT3" i="2" s="1"/>
  <c r="BL3" i="2"/>
  <c r="BS3" i="2" s="1"/>
  <c r="BR2" i="2"/>
  <c r="BQ2" i="2"/>
  <c r="BP2" i="2"/>
  <c r="BO2" i="2"/>
  <c r="BN2" i="2"/>
  <c r="BM2" i="2"/>
  <c r="BT2" i="2" s="1"/>
  <c r="BL2" i="2"/>
  <c r="BS2" i="2" s="1"/>
  <c r="BV9" i="2" l="1"/>
  <c r="AY9" i="2"/>
  <c r="BV21" i="2"/>
  <c r="AY21" i="2"/>
  <c r="BV33" i="2"/>
  <c r="AY33" i="2"/>
  <c r="BV45" i="2"/>
  <c r="AY45" i="2"/>
  <c r="BU25" i="2"/>
  <c r="BU51" i="2"/>
  <c r="BU35" i="2"/>
  <c r="BU42" i="2"/>
  <c r="BU46" i="2"/>
  <c r="BV4" i="2"/>
  <c r="AY4" i="2"/>
  <c r="BU11" i="2"/>
  <c r="BU13" i="2"/>
  <c r="BU41" i="2"/>
  <c r="BV16" i="2"/>
  <c r="AY16" i="2"/>
  <c r="BV28" i="2"/>
  <c r="AY28" i="2"/>
  <c r="BU23" i="2"/>
  <c r="BU47" i="2"/>
  <c r="BU6" i="2"/>
  <c r="BU18" i="2"/>
  <c r="BU30" i="2"/>
  <c r="BU8" i="2"/>
  <c r="BU20" i="2"/>
  <c r="BU27" i="2"/>
  <c r="BU39" i="2"/>
  <c r="BU10" i="2"/>
  <c r="BU5" i="2"/>
  <c r="BU36" i="2"/>
  <c r="BU48" i="2"/>
  <c r="BV40" i="2"/>
  <c r="AY40" i="2"/>
  <c r="BU32" i="2"/>
  <c r="BU15" i="2"/>
  <c r="BU17" i="2"/>
  <c r="BU12" i="2"/>
  <c r="BU7" i="2"/>
  <c r="BU19" i="2"/>
  <c r="BU31" i="2"/>
  <c r="BU43" i="2"/>
  <c r="BU37" i="2"/>
  <c r="BU49" i="2"/>
  <c r="BU44" i="2"/>
  <c r="BU3" i="2"/>
  <c r="BU22" i="2"/>
  <c r="BU34" i="2"/>
  <c r="BU29" i="2"/>
  <c r="BU24" i="2"/>
  <c r="BU2" i="2"/>
  <c r="BU14" i="2"/>
  <c r="BU26" i="2"/>
  <c r="BU38" i="2"/>
  <c r="BU50" i="2"/>
  <c r="BV14" i="2" l="1"/>
  <c r="AY14" i="2"/>
  <c r="BV44" i="2"/>
  <c r="AY44" i="2"/>
  <c r="BV48" i="2"/>
  <c r="AY48" i="2"/>
  <c r="BV51" i="2"/>
  <c r="AY51" i="2"/>
  <c r="BV25" i="2"/>
  <c r="AY25" i="2"/>
  <c r="BV7" i="2"/>
  <c r="AY7" i="2"/>
  <c r="BV35" i="2"/>
  <c r="AY35" i="2"/>
  <c r="BV36" i="2"/>
  <c r="AY36" i="2"/>
  <c r="BV38" i="2"/>
  <c r="AY38" i="2"/>
  <c r="BV10" i="2"/>
  <c r="AY10" i="2"/>
  <c r="BV11" i="2"/>
  <c r="AY11" i="2"/>
  <c r="BV47" i="2"/>
  <c r="AY47" i="2"/>
  <c r="BV23" i="2"/>
  <c r="AY23" i="2"/>
  <c r="BV37" i="2"/>
  <c r="AY37" i="2"/>
  <c r="BV31" i="2"/>
  <c r="AY31" i="2"/>
  <c r="BV41" i="2"/>
  <c r="AY41" i="2"/>
  <c r="BV13" i="2"/>
  <c r="AY13" i="2"/>
  <c r="BV34" i="2"/>
  <c r="AY34" i="2"/>
  <c r="BV30" i="2"/>
  <c r="AY30" i="2"/>
  <c r="BV49" i="2"/>
  <c r="AY49" i="2"/>
  <c r="BV50" i="2"/>
  <c r="AY50" i="2"/>
  <c r="BV5" i="2"/>
  <c r="AY5" i="2"/>
  <c r="BV26" i="2"/>
  <c r="AY26" i="2"/>
  <c r="BV27" i="2"/>
  <c r="AY27" i="2"/>
  <c r="BV24" i="2"/>
  <c r="AY24" i="2"/>
  <c r="BV12" i="2"/>
  <c r="AY12" i="2"/>
  <c r="BV29" i="2"/>
  <c r="AY29" i="2"/>
  <c r="BV8" i="2"/>
  <c r="AY8" i="2"/>
  <c r="BV22" i="2"/>
  <c r="AY22" i="2"/>
  <c r="BV32" i="2"/>
  <c r="AY32" i="2"/>
  <c r="BV18" i="2"/>
  <c r="AY18" i="2"/>
  <c r="BV42" i="2"/>
  <c r="AY42" i="2"/>
  <c r="BV43" i="2"/>
  <c r="AY43" i="2"/>
  <c r="BV19" i="2"/>
  <c r="AY19" i="2"/>
  <c r="BV39" i="2"/>
  <c r="AY39" i="2"/>
  <c r="BV2" i="2"/>
  <c r="AY2" i="2"/>
  <c r="BV20" i="2"/>
  <c r="AY20" i="2"/>
  <c r="BV17" i="2"/>
  <c r="AY17" i="2"/>
  <c r="BV15" i="2"/>
  <c r="AY15" i="2"/>
  <c r="BV3" i="2"/>
  <c r="AY3" i="2"/>
  <c r="BV6" i="2"/>
  <c r="AY6" i="2"/>
  <c r="BV46" i="2"/>
  <c r="AY46" i="2"/>
</calcChain>
</file>

<file path=xl/sharedStrings.xml><?xml version="1.0" encoding="utf-8"?>
<sst xmlns="http://schemas.openxmlformats.org/spreadsheetml/2006/main" count="2889" uniqueCount="620">
  <si>
    <t>US State IVF Access Dataset (2026 snapshot)</t>
  </si>
  <si>
    <t>Version</t>
  </si>
  <si>
    <t>v1.0</t>
  </si>
  <si>
    <t>Release date</t>
  </si>
  <si>
    <t>2026-03-12</t>
  </si>
  <si>
    <t>Contents</t>
  </si>
  <si>
    <t>data, codebook, index_logic, methodology</t>
  </si>
  <si>
    <t>How to cite</t>
  </si>
  <si>
    <t>Suggested citation</t>
  </si>
  <si>
    <t>US State IVF Access Dataset (2026 snapshot), compiled by user with structured coding support from OpenAI ChatGPT.</t>
  </si>
  <si>
    <t>State IVF Access Index</t>
  </si>
  <si>
    <t>Scale</t>
  </si>
  <si>
    <t>0-100</t>
  </si>
  <si>
    <t>Interpretation</t>
  </si>
  <si>
    <t>Higher scores indicate stronger insurance access, more inclusive eligibility, fewer embryo/personhood constraints, and greater clinic/utilization access.</t>
  </si>
  <si>
    <t>Key sources</t>
  </si>
  <si>
    <t>https://triagecancer.org/state-laws/health-insurance-fertility-services</t>
  </si>
  <si>
    <t>https://www.reproductivefacts.org/patient-advocacy/state-and-territory-infertility-insurance-laws/</t>
  </si>
  <si>
    <t>https://surrogacy360.org/wp-content/uploads/2024/08/Regulation-Details-in-the-US-by-State_8.6.24.pdf</t>
  </si>
  <si>
    <t>https://www.cdc.gov/art/php/surveillance-state-specific/index.html</t>
  </si>
  <si>
    <t>https://www.cms.gov/marketplace/in-person-assisters/training-webinars/training/marketplaces-map</t>
  </si>
  <si>
    <t>https://ballotpedia.org/State_government_trifectas</t>
  </si>
  <si>
    <t>https://www.guttmacher.org/united-states/abortion</t>
  </si>
  <si>
    <t>state</t>
  </si>
  <si>
    <t>state_abbrev</t>
  </si>
  <si>
    <t>year</t>
  </si>
  <si>
    <t>policy_status</t>
  </si>
  <si>
    <t>policy_start_year</t>
  </si>
  <si>
    <t>policy_end_year</t>
  </si>
  <si>
    <t>policy_last_updated</t>
  </si>
  <si>
    <t>insurance_mandate</t>
  </si>
  <si>
    <t>mandate_scope</t>
  </si>
  <si>
    <t>coverage_type</t>
  </si>
  <si>
    <t>cycle_limit</t>
  </si>
  <si>
    <t>lifetime_limit</t>
  </si>
  <si>
    <t>financial_cap</t>
  </si>
  <si>
    <t>medication_coverage</t>
  </si>
  <si>
    <t>fertility_preservation_coverage</t>
  </si>
  <si>
    <t>donor_gamete_coverage</t>
  </si>
  <si>
    <t>embryo_transfer_limit</t>
  </si>
  <si>
    <t>religious_exemption</t>
  </si>
  <si>
    <t>medicaid_ivf_coverage</t>
  </si>
  <si>
    <t>medicaid_infertility_services</t>
  </si>
  <si>
    <t>state_subsidy_program</t>
  </si>
  <si>
    <t>public_funding_amount</t>
  </si>
  <si>
    <t>state_employee_ivf_coverage</t>
  </si>
  <si>
    <t>marital_requirement</t>
  </si>
  <si>
    <t>infertility_definition</t>
  </si>
  <si>
    <t>prior_treatment_requirement</t>
  </si>
  <si>
    <t>age_limit_female</t>
  </si>
  <si>
    <t>age_limit_male</t>
  </si>
  <si>
    <t>residency_requirement</t>
  </si>
  <si>
    <t>lgbtq_access</t>
  </si>
  <si>
    <t>single_parent_access</t>
  </si>
  <si>
    <t>gender_identity_access</t>
  </si>
  <si>
    <t>donor_requirement_rules</t>
  </si>
  <si>
    <t>embryo_personhood_law</t>
  </si>
  <si>
    <t>embryo_storage_regulation</t>
  </si>
  <si>
    <t>embryo_disposition_rules</t>
  </si>
  <si>
    <t>embryo_research_restrictions</t>
  </si>
  <si>
    <t>fetal_personhood_related_laws</t>
  </si>
  <si>
    <t>surrogacy_status</t>
  </si>
  <si>
    <t>commercial_surrogacy_allowed</t>
  </si>
  <si>
    <t>surrogacy_contract_enforceable</t>
  </si>
  <si>
    <t>gestational_surrogacy_only</t>
  </si>
  <si>
    <t>parentage_rules</t>
  </si>
  <si>
    <t>clinic_licensing_requirement</t>
  </si>
  <si>
    <t>state_reporting_requirements</t>
  </si>
  <si>
    <t>success_rate_reporting</t>
  </si>
  <si>
    <t>lab_regulation</t>
  </si>
  <si>
    <t>mandate_year_enacted</t>
  </si>
  <si>
    <t>mandate_last_revised</t>
  </si>
  <si>
    <t>major_policy_change</t>
  </si>
  <si>
    <t>policy_strength_score</t>
  </si>
  <si>
    <t>ivf_clinics_count</t>
  </si>
  <si>
    <t>ivf_cycles_per_year</t>
  </si>
  <si>
    <t>population</t>
  </si>
  <si>
    <t>insurance_market_type</t>
  </si>
  <si>
    <t>political_control</t>
  </si>
  <si>
    <t>abortion_policy_index</t>
  </si>
  <si>
    <t>policy_source</t>
  </si>
  <si>
    <t>statute_link</t>
  </si>
  <si>
    <t>secondary_source</t>
  </si>
  <si>
    <t>coding_notes</t>
  </si>
  <si>
    <t>coder_initials</t>
  </si>
  <si>
    <t>verification_status</t>
  </si>
  <si>
    <t>clinic_density_per_million</t>
  </si>
  <si>
    <t>cycle_rate_per_million</t>
  </si>
  <si>
    <t>subscore_insurance</t>
  </si>
  <si>
    <t>subscore_equity</t>
  </si>
  <si>
    <t>subscore_surrogacy</t>
  </si>
  <si>
    <t>subscore_embryo_regulation</t>
  </si>
  <si>
    <t>subscore_repro_policy_env</t>
  </si>
  <si>
    <t>subscore_clinic_density</t>
  </si>
  <si>
    <t>subscore_cycle_rate</t>
  </si>
  <si>
    <t>ivf_access_index</t>
  </si>
  <si>
    <t>ivf_access_tier</t>
  </si>
  <si>
    <t>Alabama</t>
  </si>
  <si>
    <t>AL</t>
  </si>
  <si>
    <t>current_snapshot</t>
  </si>
  <si>
    <t>NA</t>
  </si>
  <si>
    <t>none_identified</t>
  </si>
  <si>
    <t>No statewide infertility/IVF coverage mandate identified in source used</t>
  </si>
  <si>
    <t>no_statewide_ivf_mandate_identified</t>
  </si>
  <si>
    <t>not identified</t>
  </si>
  <si>
    <t>no_statewide_ivf_treatment_eligibility_rule_identified</t>
  </si>
  <si>
    <t>not_applicable_no_statewide_ivf_treatment_mandate</t>
  </si>
  <si>
    <t>none stated in source used</t>
  </si>
  <si>
    <t>yes_court_ruling_frozen_embryos_children</t>
  </si>
  <si>
    <t>legal_uncertainty_after_2024_ruling</t>
  </si>
  <si>
    <t>legal_uncertainty_after_2024_ruling; 2024 immunity law for IVF providers does not resolve embryo status</t>
  </si>
  <si>
    <t>not identified in secondary sources used</t>
  </si>
  <si>
    <t>2018 constitutional amendment on rights of unborn children cited in 2024 ruling</t>
  </si>
  <si>
    <t>restricted</t>
  </si>
  <si>
    <t>yes</t>
  </si>
  <si>
    <t>no_or_unclear</t>
  </si>
  <si>
    <t>unclear</t>
  </si>
  <si>
    <t>adoption or post-birth process often required</t>
  </si>
  <si>
    <t>no_fertility_specific_state_clinic_license_coded_in_this_pass</t>
  </si>
  <si>
    <t>federal_CDC_NASS_reporting_baseline</t>
  </si>
  <si>
    <t>federal_FCSRCA_CDC_public_reporting</t>
  </si>
  <si>
    <t>CLIA_CMS_FDA_baseline; state_variation_not_fully_coded</t>
  </si>
  <si>
    <t>FFM</t>
  </si>
  <si>
    <t>republican_trifecta</t>
  </si>
  <si>
    <t>near_total_ban_or_total_ban_environment</t>
  </si>
  <si>
    <t>No statewide infertility/IVF mandate identified in Triage Cancer state-law chart</t>
  </si>
  <si>
    <t>https://triagecancer.org/state-laws/health-insurance-fertility-services; https://surrogacy360.org/wp-content/uploads/2024/08/Regulation-Details-in-the-US-by-State_8.6.24.pdf; https://www.reuters.com/business/healthcare-pharmaceuticals/alabamas-highest-court-ruled-frozen-embryos-are-people-what-is-next-2024-02-23/; https://www.asrm.org/advocacy-and-policy/reproductive-rights/summary-reports/state-abortion-laws-potential-implications-for-reproductive-medicine/; https://www.guttmacher.org/2025/12/state-policy-trends-2025-full-year-analysis; https://www.reuters.com/world/us/republican-alabama-governor-signs-ivf-protections-into-law-2024-03-07/;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</si>
  <si>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Starter row only. Needs primary-law verification for Medicaid, public funding, eligibility, embryo rules, surrogacy, clinic regulation, and utilization variables.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</si>
  <si>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partially_filled_needs_primary_law_review</t>
  </si>
  <si>
    <t>Alaska</t>
  </si>
  <si>
    <t>AK</t>
  </si>
  <si>
    <t>not_identified_in_secondary_sources_used</t>
  </si>
  <si>
    <t>divided_government</t>
  </si>
  <si>
    <t>supportive_or_protective</t>
  </si>
  <si>
    <t>https://triagecancer.org/state-laws/health-insurance-fertility-services; https://surrogacy360.org/wp-content/uploads/2024/08/Regulation-Details-in-the-US-by-State_8.6.24.pdf;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</si>
  <si>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Arizona</t>
  </si>
  <si>
    <t>AZ</t>
  </si>
  <si>
    <t>limited</t>
  </si>
  <si>
    <t>limited court recognition; extra conditions apply</t>
  </si>
  <si>
    <t>restrictive</t>
  </si>
  <si>
    <t>Arkansas</t>
  </si>
  <si>
    <t>AR</t>
  </si>
  <si>
    <t>active</t>
  </si>
  <si>
    <t>cover</t>
  </si>
  <si>
    <t>IVF coverage in individual and group policies with maternity benefits (except HMOs)</t>
  </si>
  <si>
    <t>IVF-specific</t>
  </si>
  <si>
    <t>not specified</t>
  </si>
  <si>
    <t>$15,000 lifetime maximum</t>
  </si>
  <si>
    <t>married_spousal_gametes_required</t>
  </si>
  <si>
    <t>2 years unexplained infertility or specified medical conditions</t>
  </si>
  <si>
    <t>must first fail less costly covered infertility treatment</t>
  </si>
  <si>
    <t>not specified in source used</t>
  </si>
  <si>
    <t>restricted_spouse_and_spousal_sperm_requirement</t>
  </si>
  <si>
    <t>excluded_spouse_required</t>
  </si>
  <si>
    <t>not explicitly addressed; sex/marriage-linked eligibility</t>
  </si>
  <si>
    <t>patient oocytes must be fertilized with spouse sperm</t>
  </si>
  <si>
    <t>SBM-FP</t>
  </si>
  <si>
    <t>AR Code § 23-85-137</t>
  </si>
  <si>
    <t>https://law.justia.com/codes/arkansas/title-23/subtitle-3/chapter-85/section-23-85-137/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</si>
  <si>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https://www.reproductivefacts.org/patient-advocacy/state-and-territory-infertility-insurance-laws/arkansas/;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</si>
  <si>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Triage chart says IVF required; cryopreservation included; $15,000 lifetime max; coverage applies to policies with maternity benefits except HMOs.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</si>
  <si>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California</t>
  </si>
  <si>
    <t>CA</t>
  </si>
  <si>
    <t>mixed_cover_offer</t>
  </si>
  <si>
    <t>Large group must cover infertility diagnosis/treatment incl IVF; small group must offer coverage</t>
  </si>
  <si>
    <t>Infertility + IVF (large group); offer-only for small group</t>
  </si>
  <si>
    <t>3 oocyte retrievals</t>
  </si>
  <si>
    <t>Unlimited embryo transfers under ASRM guidelines</t>
  </si>
  <si>
    <t>excluded for Medi-Cal managed care</t>
  </si>
  <si>
    <t>Medi-Cal managed care excluded from SB 729 infertility coverage</t>
  </si>
  <si>
    <t>CalPERS plans exempt until 2027-07-01</t>
  </si>
  <si>
    <t>none stated</t>
  </si>
  <si>
    <t>broad definition noted by source; includes same-sex couples and single people</t>
  </si>
  <si>
    <t>explicitly inclusive</t>
  </si>
  <si>
    <t>not explicitly addressed in source used</t>
  </si>
  <si>
    <t>legal</t>
  </si>
  <si>
    <t>court-recognized parentage available</t>
  </si>
  <si>
    <t>SBM</t>
  </si>
  <si>
    <t>democratic_trifecta</t>
  </si>
  <si>
    <t>SB 729 (2024); SB 600 (2019)</t>
  </si>
  <si>
    <t>https://leginfo.legislature.ca.gov/faces/billTextClient.xhtml?bill_id=202320240SB729</t>
  </si>
  <si>
    <t>https://triagecancer.org/state-laws/health-insurance-fertility-services; https://surrogacy360.org/wp-content/uploads/2024/08/Regulation-Details-in-the-US-by-State_8.6.24.pdf; https://calmatters.org/newsletter/ivf-law-expansion/;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</si>
  <si>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Triage notes implementation delayed to 2026-01-01 from 2025-07-01; source also lists fertility preservation coverage under SB 600.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</si>
  <si>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Colorado</t>
  </si>
  <si>
    <t>CO</t>
  </si>
  <si>
    <t>Infertility diagnosis, treatment, and standard fertility preservation</t>
  </si>
  <si>
    <t>Comprehensive infertility + IVF</t>
  </si>
  <si>
    <t>includes inability to reproduce as an individual or with the person's partner</t>
  </si>
  <si>
    <t>no arbitrary age limit allowed</t>
  </si>
  <si>
    <t>inclusive gender-neutral definition</t>
  </si>
  <si>
    <t>inclusive individual-or-partner definition</t>
  </si>
  <si>
    <t>gender-neutral definition; no explicit gender-identity clause cited</t>
  </si>
  <si>
    <t>no</t>
  </si>
  <si>
    <t>HB20-1158 (Colorado Building Families Act)</t>
  </si>
  <si>
    <t>https://leg.colorado.gov/bills/hb20-1158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</si>
  <si>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https://www.reproductivefacts.org/patient-advocacy/state-and-territory-infertility-insurance-laws/colorado/;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</si>
  <si>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Triage notes individual/small-group coverage may depend on federal cost-defrayal determinations.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</si>
  <si>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Connecticut</t>
  </si>
  <si>
    <t>CT</t>
  </si>
  <si>
    <t>Medically necessary infertility diagnosis and treatment, including IVF</t>
  </si>
  <si>
    <t>Infertility + IVF</t>
  </si>
  <si>
    <t>lifetime cycle limits apply (source does not specify count)</t>
  </si>
  <si>
    <t>lifetime cycle limits</t>
  </si>
  <si>
    <t>individual unable to conceive, produce conception, or sustain successful pregnancy during 1-year period, or treatment is medically necessary</t>
  </si>
  <si>
    <t>less expensive medically viable treatment first before IVF/GIFT/ZIFT/low tubal ovum transfer unless likely unsuccessful</t>
  </si>
  <si>
    <t>up to age 40 for IVF-related services</t>
  </si>
  <si>
    <t>gender-neutral individual definition; not explicitly addressed beyond that</t>
  </si>
  <si>
    <t>likely inclusive via individual definition</t>
  </si>
  <si>
    <t>HB 7124 (2017)</t>
  </si>
  <si>
    <t>https://www.cga.ct.gov/asp/cgabillstatus/cgabillstatus.asp?selBillType=Bill&amp;bill_num=HB07124&amp;which_year=2017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</si>
  <si>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https://www.reproductivefacts.org/patient-advocacy/state-and-territory-infertility-insurance-laws/connecticut/;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</si>
  <si>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notes age cap up to 40 and requirement to try less costly treatments first.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</si>
  <si>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Delaware</t>
  </si>
  <si>
    <t>DE</t>
  </si>
  <si>
    <t>Infertility diagnosis and treatment including IVF + fertility preservation</t>
  </si>
  <si>
    <t>6 completed egg retrievals per lifetime</t>
  </si>
  <si>
    <t>6 egg retrievals lifetime</t>
  </si>
  <si>
    <t>individual unable to procreate or carry pregnancy to live birth</t>
  </si>
  <si>
    <t>reasonable effort with less costly covered treatment first; no more than 3 ovulation induction or IUI cycles before IVF unless IVF medically necessary</t>
  </si>
  <si>
    <t>retrieval before 45; transfer before 50</t>
  </si>
  <si>
    <t>inclusive individual definition and coverage extends to non-spouse dependents</t>
  </si>
  <si>
    <t>likely inclusive individual definition</t>
  </si>
  <si>
    <t>yes_or_unspecified_genetic</t>
  </si>
  <si>
    <t>S 139 (2018)</t>
  </si>
  <si>
    <t>https://legis.delaware.gov/BillDetail?LegislationId=26219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</si>
  <si>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https://www.reproductivefacts.org/patient-advocacy/state-and-territory-infertility-insurance-laws/delaware/;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</si>
  <si>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says insurers may not impose different cost sharing or restrictions compared with other medical services.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</si>
  <si>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Florida</t>
  </si>
  <si>
    <t>FL</t>
  </si>
  <si>
    <t>none_for_ivf</t>
  </si>
  <si>
    <t>No statewide infertility/IVF coverage mandate identified in source; fertility preservation law only</t>
  </si>
  <si>
    <t>fertility_preservation_only</t>
  </si>
  <si>
    <t>fertility_preservation_only in state group plan</t>
  </si>
  <si>
    <t>no_statewide_ivf_treatment_rule_identified_fertility_preservation_only_law</t>
  </si>
  <si>
    <t>limited_expense_payment</t>
  </si>
  <si>
    <t>HB 677 (2025)</t>
  </si>
  <si>
    <t>https://www.flsenate.gov/Session/Bill/2025/677</t>
  </si>
  <si>
    <t>State group health insurance must cover fertility retrieval/preservation for cancer-related iatrogenic infertility effective 2026-01-01.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</si>
  <si>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Georgia</t>
  </si>
  <si>
    <t>GA</t>
  </si>
  <si>
    <t>Hawaii</t>
  </si>
  <si>
    <t>HI</t>
  </si>
  <si>
    <t>One-time outpatient IVF benefit where eligibility is met</t>
  </si>
  <si>
    <t>IVF-specific, one-time benefit</t>
  </si>
  <si>
    <t>1 outpatient IVF benefit</t>
  </si>
  <si>
    <t>one-time benefit</t>
  </si>
  <si>
    <t>no; source says own eggs and spouse sperm</t>
  </si>
  <si>
    <t>5-year infertility history or specified medical conditions</t>
  </si>
  <si>
    <t>must first fail other applicable covered infertility treatments</t>
  </si>
  <si>
    <t>restricted_current_statute uses spouse requirement</t>
  </si>
  <si>
    <t>excluded_current_statute uses spouse requirement</t>
  </si>
  <si>
    <t>not explicitly addressed; current statute uses spouse/sex-specific framing</t>
  </si>
  <si>
    <t>HI Rev Stat § 431:10A-116.5</t>
  </si>
  <si>
    <t>https://law.justia.com/codes/hawaii/title-24/chapter-431/section-431-10a-116-5/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</si>
  <si>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https://www.reproductivefacts.org/patient-advocacy/state-and-territory-infertility-insurance-laws/hawaii/; https://law.justia.com/codes/hawaii/title-24/chapter-431/section-431-10a-116-5/;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</si>
  <si>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also notes 5 years infertility or certain medical conditions as eligibility routes.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</si>
  <si>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Idaho</t>
  </si>
  <si>
    <t>ID</t>
  </si>
  <si>
    <t>legal_with_restrictions</t>
  </si>
  <si>
    <t>Illinois</t>
  </si>
  <si>
    <t>IL</t>
  </si>
  <si>
    <t>Infertility diagnosis and treatment including IVF for group policies with &gt;25 employees</t>
  </si>
  <si>
    <t>4 oocyte retrievals, with additional retrievals after live birth</t>
  </si>
  <si>
    <t>4 retrievals before live birth reset</t>
  </si>
  <si>
    <t>yes (faith-based employers)</t>
  </si>
  <si>
    <t>fertility_preservation_only under HB 2617</t>
  </si>
  <si>
    <t>not fully parsed from statute in source used; treatment law uses infertility diagnosis and treatment in ASRM/SART clinics</t>
  </si>
  <si>
    <t>less costly treatments must fail before IVF</t>
  </si>
  <si>
    <t>not fully specified in source used</t>
  </si>
  <si>
    <t>215 ILCS 5/356m; HB 2617 (2017) for fertility preservation</t>
  </si>
  <si>
    <t>https://www.ilga.gov/Documents/legislation/ilcs/documents/021500050K356m.htm</t>
  </si>
  <si>
    <t>Source says less costly treatments must fail before IVF; fertility preservation law separately bars discrimination on sexual orientation, marital status, and gender identity.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</si>
  <si>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Indiana</t>
  </si>
  <si>
    <t>IN</t>
  </si>
  <si>
    <t>Iowa</t>
  </si>
  <si>
    <t>IA</t>
  </si>
  <si>
    <t>Kansas</t>
  </si>
  <si>
    <t>KS</t>
  </si>
  <si>
    <t>mixed</t>
  </si>
  <si>
    <t>Kentucky</t>
  </si>
  <si>
    <t>KY</t>
  </si>
  <si>
    <t>no_expense_reimbursement_only</t>
  </si>
  <si>
    <t>HB 170 (2023)</t>
  </si>
  <si>
    <t>https://apps.legislature.ky.gov/record/23RS/hb170.html</t>
  </si>
  <si>
    <t>Plans including Medicaid and student health must cover oocyte and sperm preservation for treatment-related infertility.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</si>
  <si>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Louisiana</t>
  </si>
  <si>
    <t>LA</t>
  </si>
  <si>
    <t>yes_juridical_person</t>
  </si>
  <si>
    <t>physician_or_facility_responsible_for_safekeeping</t>
  </si>
  <si>
    <t>intentional destruction of viable embryo prohibited; renunciation transfers by notarial act to new intended parent(s)</t>
  </si>
  <si>
    <t>embryos may not be farmed/cultured solely for research; sale prohibited</t>
  </si>
  <si>
    <t>state embryo statutes define IVF embryo as juridical person/separate entity, not property</t>
  </si>
  <si>
    <t>HB 186 (2023)</t>
  </si>
  <si>
    <t>https://www.legis.la.gov/legis/BillInfo.aspx?s=23rs&amp;b=HB186</t>
  </si>
  <si>
    <t>https://triagecancer.org/state-laws/health-insurance-fertility-services; https://surrogacy360.org/wp-content/uploads/2024/08/Regulation-Details-in-the-US-by-State_8.6.24.pdf; https://legis.la.gov/Legis/Law.aspx?d=108440; https://www.asrm.org/advocacy-and-policy/reproductive-rights/summary-reports/state-abortion-laws-potential-implications-for-reproductive-medicine/; https://www.guttmacher.org/2025/12/state-policy-trends-2025-full-year-analysis; https://law.justia.com/codes/louisiana/revised-statutes/title-9/rs-9-122/; https://law.justia.com/codes/louisiana/revised-statutes/title-9/rs-9-123/; https://law.justia.com/codes/louisiana/revised-statutes/title-9/rs-9-126/; https://law.justia.com/codes/louisiana/revised-statutes/title-9/rs-9-129/; https://legis.la.gov/legis/Law.aspx?d=108447;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</si>
  <si>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Plans including Medicaid and student health must cover standard fertility preservation effective 2024-01-01; storage up to 3 years.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</si>
  <si>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Maine</t>
  </si>
  <si>
    <t>ME</t>
  </si>
  <si>
    <t>Fertility diagnostic care, fertility treatment, and fertility preservation</t>
  </si>
  <si>
    <t>Comprehensive infertility treatment</t>
  </si>
  <si>
    <t>yes (procurement of donor gametes included)</t>
  </si>
  <si>
    <t>coverage includes fertility care where individual or couple lacks necessary gametes for conception</t>
  </si>
  <si>
    <t>cannot deny coverage solely because enrollee foregoes a treatment deemed likely unsuccessful by provider</t>
  </si>
  <si>
    <t>explicitly inclusive per Maine regulator bulletin</t>
  </si>
  <si>
    <t>procurement of donor gametes included</t>
  </si>
  <si>
    <t>LD 1539 / HP 1144 (2021)</t>
  </si>
  <si>
    <t>https://legislature.maine.gov/legis/bills/getPDF.asp?paper=HP1144&amp;item=1&amp;snum=130</t>
  </si>
  <si>
    <t>https://triagecancer.org/state-laws/health-insurance-fertility-services; https://surrogacy360.org/wp-content/uploads/2024/08/Regulation-Details-in-the-US-by-State_8.6.24.pdf; https://www.maine.gov/pfr/insurance/sites/maine.gov.pfr.insurance/files/inline-files/476.pdf;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</si>
  <si>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says coverage may not be denied because an enrollee foregoes a treatment a provider views as unlikely to succeed.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</si>
  <si>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Maryland</t>
  </si>
  <si>
    <t>MD</t>
  </si>
  <si>
    <t>IVF coverage in individual/group policies with pregnancy benefits; separate fertility preservation law</t>
  </si>
  <si>
    <t>3 IVF cycles per live birth</t>
  </si>
  <si>
    <t>$100,000 lifetime maximum</t>
  </si>
  <si>
    <t>100000</t>
  </si>
  <si>
    <t>not required</t>
  </si>
  <si>
    <t>married or unmarried patient pathways specified</t>
  </si>
  <si>
    <t>opposite-sex spouse: 1 year intercourse; same-sex spouse: 3 artificial insemination attempts over 1 year; unmarried patient: 3 artificial insemination attempts over 1 year or specified medical conditions</t>
  </si>
  <si>
    <t>must first try less costly treatments</t>
  </si>
  <si>
    <t>partially inclusive same-sex spouse pathway included</t>
  </si>
  <si>
    <t>included through unmarried-patient pathway</t>
  </si>
  <si>
    <t>not explicitly addressed; sex-specific statutory framing</t>
  </si>
  <si>
    <t>MD Insurance Code Ann. § 15-810; SB 271 (2018); HB 908 (2018)</t>
  </si>
  <si>
    <t>https://mgaleg.maryland.gov/mgawebsite/Laws/StatuteText?article=gin&amp;section=15-810&amp;enactments=false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</si>
  <si>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https://www.reproductivefacts.org/patient-advocacy/state-and-territory-infertility-insurance-laws/maryland/; https://mgaleg.maryland.gov/mgawebsite/laws/StatuteText?article=gin&amp;section=15-810;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</si>
  <si>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says IVF coverage excludes sperm/oocyte storage and does not apply to small employers under 50 employees or self-insured plans.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</si>
  <si>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Massachusetts</t>
  </si>
  <si>
    <t>MA</t>
  </si>
  <si>
    <t>Infertility diagnosis and treatment including IVF, AI, gamete procurement, cryopreservation</t>
  </si>
  <si>
    <t>no lifetime cap noted by source</t>
  </si>
  <si>
    <t>not specified in source used; insurers with pregnancy benefits must cover infertility diagnosis and treatment</t>
  </si>
  <si>
    <t>none</t>
  </si>
  <si>
    <t>no express exclusion identified in source used</t>
  </si>
  <si>
    <t>211 CMR 37.00; St. 2024, c. 140, § 74</t>
  </si>
  <si>
    <t>https://www.mass.gov/regulations/211-CMR-3700-infertility-benefits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</si>
  <si>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https://www.reproductivefacts.org/patient-advocacy/state-and-territory-infertility-insurance-laws/massachusetts/;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</si>
  <si>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says surrogacy and sterilization reversal are not required benefits; 2024 act added fertility preservation.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</si>
  <si>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</si>
  <si>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</si>
  <si>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</si>
  <si>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</si>
  <si>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</si>
  <si>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</si>
  <si>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</si>
  <si>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</si>
  <si>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</si>
  <si>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</si>
  <si>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HMO basic health care services include infertility services, but scope is undefined</t>
  </si>
  <si>
    <t>HMO-only / unspecified infertility services</t>
  </si>
  <si>
    <t>not_specified_scope_unclear_in_source_used</t>
  </si>
  <si>
    <t>infertility_services_required_but_scope_undefined_in_source_used</t>
  </si>
  <si>
    <t>not_specified_in_source_used</t>
  </si>
  <si>
    <t>Mont. Code Ann. § 33-31-102(2)(v); SB 516 (2023) for fertility preservation</t>
  </si>
  <si>
    <t>https://leg.mt.gov/bills/mca/title_0330/chapter_0310/part_0010/section_0020/0330-0310-0010-0020.html</t>
  </si>
  <si>
    <t>Treat as limited because source says extent of IVF coverage under HMO requirement is unclear.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</si>
  <si>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Nebraska</t>
  </si>
  <si>
    <t>NE</t>
  </si>
  <si>
    <t>Nevada</t>
  </si>
  <si>
    <t>NV</t>
  </si>
  <si>
    <t>fertility_preservation_only for state/local employees</t>
  </si>
  <si>
    <t>AB 428 (2025)</t>
  </si>
  <si>
    <t>https://www.leg.state.nv.us/App/NELIS/REL/83rd2025/Bill/12625/Overview</t>
  </si>
  <si>
    <t>Public/private health plans incl Medicaid and state/local employees must cover medically necessary fertility preservation for breast/ovarian cancer effective 2025-07-01.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</si>
  <si>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New Hampshire</t>
  </si>
  <si>
    <t>NH</t>
  </si>
  <si>
    <t>Infertility diagnosis, medically necessary fertility treatment, and fertility preservation for group plans</t>
  </si>
  <si>
    <t>Infertility treatment (group plans)</t>
  </si>
  <si>
    <t>individual ability to become pregnant/carry to live birth is impaired, or individual's ability to cause pregnancy/live birth in partner is impaired</t>
  </si>
  <si>
    <t>no differential waiting periods or arbitrary limits allowed</t>
  </si>
  <si>
    <t>no arbitrary age limits allowed</t>
  </si>
  <si>
    <t>inclusive individual-and-partner definition</t>
  </si>
  <si>
    <t>likely inclusive individual-centered definition</t>
  </si>
  <si>
    <t>donor eggs, sperm, and embryos included</t>
  </si>
  <si>
    <t>SB 279 (2019)</t>
  </si>
  <si>
    <t>https://gc.nh.gov/bill_status/legacy/bs2016/bill_status.aspx?lsr=868&amp;sy=2019&amp;sortoption=&amp;txtsessionyear=2019&amp;txtbillnumber=SB279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</si>
  <si>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https://www.reproductivefacts.org/patient-advocacy/state-and-territory-infertility-insurance-laws/new-hampshire/;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</si>
  <si>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says no pre-existing-condition exclusions.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</si>
  <si>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New Jersey</t>
  </si>
  <si>
    <t>NJ</t>
  </si>
  <si>
    <t>Medically necessary infertility treatment including IVF and related procedures; separate fertility preservation law</t>
  </si>
  <si>
    <t>4 completed egg retrievals per lifetime</t>
  </si>
  <si>
    <t>4 retrievals lifetime</t>
  </si>
  <si>
    <t>none; pathways include female without male partner</t>
  </si>
  <si>
    <t>includes female without male partner after failed IUI attempts, involuntary medical sterility, inability to carry pregnancy to live birth, or prior infertility determination</t>
  </si>
  <si>
    <t>must first fail less costly covered infertility treatments</t>
  </si>
  <si>
    <t>less than 46 years old</t>
  </si>
  <si>
    <t>partially inclusive same-sex/single-female pathways included</t>
  </si>
  <si>
    <t>included for female without male partner</t>
  </si>
  <si>
    <t>N.J. P.L. 2001, c. 236; SB 2133 (2018)</t>
  </si>
  <si>
    <t>https://pub.njleg.gov/bills/2000/pl01/236_.htm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</si>
  <si>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https://www.reproductivefacts.org/patient-advocacy/state-and-territory-infertility-insurance-laws/new-jersey/;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</si>
  <si>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Infertility treatment coverage limited to individuals under 45 who meet statutory infertility definition and have attempted less costly treatments.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</si>
  <si>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New Mexico</t>
  </si>
  <si>
    <t>NM</t>
  </si>
  <si>
    <t>New York</t>
  </si>
  <si>
    <t>NY</t>
  </si>
  <si>
    <t>Large-group IVF coverage plus fertility preservation</t>
  </si>
  <si>
    <t>IVF-specific for large groups (&gt;100 employees)</t>
  </si>
  <si>
    <t>3 IVF cycles</t>
  </si>
  <si>
    <t>No age restriction; no lifetime limit on fertility preservation</t>
  </si>
  <si>
    <t>not covered</t>
  </si>
  <si>
    <t>12 months regular unprotected intercourse or therapeutic donor insemination; 6 months if female age 35+</t>
  </si>
  <si>
    <t>35+ gets 6-month infertility timeline; no IVF age cap stated in source used</t>
  </si>
  <si>
    <t>policy issued or renewed in New York</t>
  </si>
  <si>
    <t>partially inclusive donor-insemination pathway</t>
  </si>
  <si>
    <t>therapeutic donor insemination recognized in infertility definition</t>
  </si>
  <si>
    <t>N.Y. Ins. Law §§ 3221(k)(6)(C) and 4303(s)(3)</t>
  </si>
  <si>
    <t>https://www.dfs.ny.gov/apps_and_licensing/health_insurers/ivf_fertility_preservation_law_qa_guidance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</si>
  <si>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https://www.reproductivefacts.org/patient-advocacy/state-and-territory-infertility-insurance-laws/new-york/;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</si>
  <si>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says applies to policies issued or renewed on or after 2020-01-01.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</si>
  <si>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North Carolina</t>
  </si>
  <si>
    <t>NC</t>
  </si>
  <si>
    <t>North Dakota</t>
  </si>
  <si>
    <t>ND</t>
  </si>
  <si>
    <t>Ohio</t>
  </si>
  <si>
    <t>OH</t>
  </si>
  <si>
    <t>Health insuring corporations must offer basic health care services including infertility services such as IVF when medically necessary</t>
  </si>
  <si>
    <t>HIC/HMO-only infertility services</t>
  </si>
  <si>
    <t>Ohio Rev. Code Ann. § 1751.01(A)(7)</t>
  </si>
  <si>
    <t>https://codes.ohio.gov/ohio-revised-code/section-1751.01</t>
  </si>
  <si>
    <t>Source treats infertility services as part of basic health care services for health insuring corporations; experimental procedures not required.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</si>
  <si>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Oklahoma</t>
  </si>
  <si>
    <t>OK</t>
  </si>
  <si>
    <t>SB 1334 (2024)</t>
  </si>
  <si>
    <t>https://www.oklegislature.gov/BillInfo.aspx?Bill=SB1334&amp;Session=2400</t>
  </si>
  <si>
    <t>Corinne’s Law requires all health plans to cover standard fertility preservation for cancer-related iatrogenic infertility effective 2025-01-01.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</si>
  <si>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Oregon</t>
  </si>
  <si>
    <t>OR</t>
  </si>
  <si>
    <t>Pennsylvania</t>
  </si>
  <si>
    <t>PA</t>
  </si>
  <si>
    <t>Rhode Island</t>
  </si>
  <si>
    <t>RI</t>
  </si>
  <si>
    <t>Infertility diagnosis and treatment plus fertility preservation</t>
  </si>
  <si>
    <t>Infertility treatment</t>
  </si>
  <si>
    <t>$100,000 lifetime cap may apply</t>
  </si>
  <si>
    <t>yes (for fertility preservation law)</t>
  </si>
  <si>
    <t>otherwise healthy individual unable to conceive or sustain pregnancy during 1 year</t>
  </si>
  <si>
    <t>women aged 25-42</t>
  </si>
  <si>
    <t>policy delivered, issued, or renewed in state</t>
  </si>
  <si>
    <t>individual definition but women-only age criterion limits inclusivity</t>
  </si>
  <si>
    <t>likely inclusive for women meeting definition</t>
  </si>
  <si>
    <t>not explicitly addressed; women-specific statutory language</t>
  </si>
  <si>
    <t>RI Gen. Laws § 27-18-30; 2017-S 0821A / 2017-H 6170A</t>
  </si>
  <si>
    <t>https://law.justia.com/codes/rhode-island/title-27/chapter-27-18/section-27-18-30/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</si>
  <si>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https://www.reproductivefacts.org/patient-advocacy/state-and-territory-infertility-insurance-laws/rhode-island/;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</si>
  <si>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applies age range 25–42 to women in infertility coverage summary.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</si>
  <si>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</si>
  <si>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</si>
  <si>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</si>
  <si>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</si>
  <si>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</si>
  <si>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</si>
  <si>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</si>
  <si>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</si>
  <si>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Group health plans with pregnancy-related benefits cover IVF for married patients meeting criteria; separate fertility preservation law</t>
  </si>
  <si>
    <t>IVF-specific, group plans</t>
  </si>
  <si>
    <t>excluded from 2023 fertility preservation law</t>
  </si>
  <si>
    <t>married_spouse_required</t>
  </si>
  <si>
    <t>5 continuous years infertility or specified medical conditions</t>
  </si>
  <si>
    <t>must first fail less costly covered treatments</t>
  </si>
  <si>
    <t>restricted_current_statute requires spouse and spouse sperm</t>
  </si>
  <si>
    <t>excluded_current_statute requires spouse</t>
  </si>
  <si>
    <t>not explicitly addressed; spouse/sex-specific statutory framing</t>
  </si>
  <si>
    <t>patient oocytes must be fertilized only with spouse sperm</t>
  </si>
  <si>
    <t>Tex. Insurance Code Ann. Section 3.51-6, Sec. 3A; HB 1649 (2023)</t>
  </si>
  <si>
    <t>https://statutes.capitol.texas.gov/Docs/IN/htm/IN.1366.htm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</si>
  <si>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https://www.reproductivefacts.org/patient-advocacy/state-and-territory-infertility-insurance-laws/texas/;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</si>
  <si>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says IVF coverage excludes self-insured employers and certain exempt policy types.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</si>
  <si>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Utah</t>
  </si>
  <si>
    <t>UT</t>
  </si>
  <si>
    <t>fertility_preservation_only in PEHP</t>
  </si>
  <si>
    <t>HJR 8 (2023); HB 192 (2021)</t>
  </si>
  <si>
    <t>https://le.utah.gov/~2023/bills/hbillint/HJR008.pdf</t>
  </si>
  <si>
    <t>State employee plan and Medicaid coverage for standard fertility preservation in specified circumstances.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</si>
  <si>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</si>
  <si>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</si>
  <si>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</si>
  <si>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</si>
  <si>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</si>
  <si>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</si>
  <si>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</si>
  <si>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</si>
  <si>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HMOs must cover infertility services under basic health care services</t>
  </si>
  <si>
    <t>W.Va. Code § 33-25A-2</t>
  </si>
  <si>
    <t>https://code.wvlegislature.gov/33-25A-2/</t>
  </si>
  <si>
    <t>Source says statute does not define infertility and applies to HMOs/basic health care services.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</si>
  <si>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Wisconsin</t>
  </si>
  <si>
    <t>WI</t>
  </si>
  <si>
    <t>Wyoming</t>
  </si>
  <si>
    <t>WY</t>
  </si>
  <si>
    <t>IVF Access Index lookup tables</t>
  </si>
  <si>
    <t>score</t>
  </si>
  <si>
    <t>State IVF Access Index methodology</t>
  </si>
  <si>
    <t/>
  </si>
  <si>
    <t>Component</t>
  </si>
  <si>
    <t>Points</t>
  </si>
  <si>
    <t>Insurance mandate / coverage strength</t>
  </si>
  <si>
    <t>LGBTQ and eligibility inclusion</t>
  </si>
  <si>
    <t>Surrogacy legal environment</t>
  </si>
  <si>
    <t>Embryo/personhood regulatory burden (higher = fewer explicit constraints)</t>
  </si>
  <si>
    <t>Broader reproductive policy environment</t>
  </si>
  <si>
    <t>Clinic density per million residents</t>
  </si>
  <si>
    <t>ART cycles per million residents</t>
  </si>
  <si>
    <t>Total</t>
  </si>
  <si>
    <t>Very High</t>
  </si>
  <si>
    <t>80-100</t>
  </si>
  <si>
    <t>High</t>
  </si>
  <si>
    <t>65-79</t>
  </si>
  <si>
    <t>Moderate</t>
  </si>
  <si>
    <t>50-64</t>
  </si>
  <si>
    <t>Low</t>
  </si>
  <si>
    <t>35-49</t>
  </si>
  <si>
    <t>Very Low</t>
  </si>
  <si>
    <t>0-34</t>
  </si>
  <si>
    <t>Notes</t>
  </si>
  <si>
    <t>This is a transparent comparative index built from currently coded variables in the workbook. It is intended for research and descriptive comparison, not legal advice.</t>
  </si>
  <si>
    <t>variable_name</t>
  </si>
  <si>
    <t>section</t>
  </si>
  <si>
    <t>type</t>
  </si>
  <si>
    <t>description</t>
  </si>
  <si>
    <t>coding_or_units</t>
  </si>
  <si>
    <t>identification</t>
  </si>
  <si>
    <t>text/categorical</t>
  </si>
  <si>
    <t>U.S. state name</t>
  </si>
  <si>
    <t>See source fields and methodology sheet</t>
  </si>
  <si>
    <t>Two-letter postal abbreviation</t>
  </si>
  <si>
    <t>numeric</t>
  </si>
  <si>
    <t>Dataset policy snapshot year</t>
  </si>
  <si>
    <t>Policy status</t>
  </si>
  <si>
    <t>Policy start year</t>
  </si>
  <si>
    <t>Policy end year</t>
  </si>
  <si>
    <t>Policy last updated</t>
  </si>
  <si>
    <t>private_insurance</t>
  </si>
  <si>
    <t>Statewide IVF/infertility insurance mandate status</t>
  </si>
  <si>
    <t>cover, mixed_cover_offer, limited, none_for_ivf, none_identified</t>
  </si>
  <si>
    <t>Mandate scope</t>
  </si>
  <si>
    <t>Coverage type</t>
  </si>
  <si>
    <t>Cycle limit</t>
  </si>
  <si>
    <t>Lifetime limit</t>
  </si>
  <si>
    <t>Financial cap</t>
  </si>
  <si>
    <t>Medication coverage</t>
  </si>
  <si>
    <t>Fertility preservation coverage</t>
  </si>
  <si>
    <t>Donor gamete coverage</t>
  </si>
  <si>
    <t>Embryo transfer limit</t>
  </si>
  <si>
    <t>Religious exemption</t>
  </si>
  <si>
    <t>public_coverage</t>
  </si>
  <si>
    <t>Medicaid ivf coverage</t>
  </si>
  <si>
    <t>Medicaid infertility services</t>
  </si>
  <si>
    <t>State subsidy program</t>
  </si>
  <si>
    <t>Public funding amount</t>
  </si>
  <si>
    <t>State employee ivf coverage</t>
  </si>
  <si>
    <t>eligibility_equity</t>
  </si>
  <si>
    <t>Marital requirement</t>
  </si>
  <si>
    <t>Infertility definition</t>
  </si>
  <si>
    <t>Prior treatment requirement</t>
  </si>
  <si>
    <t>Age limit female</t>
  </si>
  <si>
    <t>Age limit male</t>
  </si>
  <si>
    <t>Residency requirement</t>
  </si>
  <si>
    <t>How statewide treatment eligibility appears to treat LGBTQ applicants under source used</t>
  </si>
  <si>
    <t>Single parent access</t>
  </si>
  <si>
    <t>Gender identity access</t>
  </si>
  <si>
    <t>Donor requirement rules</t>
  </si>
  <si>
    <t>embryo_regulation</t>
  </si>
  <si>
    <t>Whether explicit embryo/personhood rule was identified in source used</t>
  </si>
  <si>
    <t>not_identified_in_secondary_sources_used, yes_juridical_person, yes_court_ruling_frozen_embryos_children</t>
  </si>
  <si>
    <t>Embryo storage regulation</t>
  </si>
  <si>
    <t>Embryo disposition rules</t>
  </si>
  <si>
    <t>Embryo research restrictions</t>
  </si>
  <si>
    <t>Fetal personhood related laws</t>
  </si>
  <si>
    <t>surrogacy</t>
  </si>
  <si>
    <t>State surrogacy legal environment summary</t>
  </si>
  <si>
    <t>legal, legal_with_restrictions, restricted</t>
  </si>
  <si>
    <t>Commercial surrogacy allowed</t>
  </si>
  <si>
    <t>Surrogacy contract enforceable</t>
  </si>
  <si>
    <t>Gestational surrogacy only</t>
  </si>
  <si>
    <t>Parentage rules</t>
  </si>
  <si>
    <t>clinic_regulation</t>
  </si>
  <si>
    <t>Clinic licensing requirement</t>
  </si>
  <si>
    <t>State reporting requirements</t>
  </si>
  <si>
    <t>Success rate reporting</t>
  </si>
  <si>
    <t>Lab regulation</t>
  </si>
  <si>
    <t>timeline_index</t>
  </si>
  <si>
    <t>Mandate year enacted</t>
  </si>
  <si>
    <t>Mandate last revised</t>
  </si>
  <si>
    <t>Major policy change</t>
  </si>
  <si>
    <t>Legacy field; set equal to ivf_access_index</t>
  </si>
  <si>
    <t>0-100 index points</t>
  </si>
  <si>
    <t>context_utilization</t>
  </si>
  <si>
    <t>CDC count of ART clinics in the state</t>
  </si>
  <si>
    <t>count</t>
  </si>
  <si>
    <t>CDC count of ART procedures performed in the state</t>
  </si>
  <si>
    <t>Population</t>
  </si>
  <si>
    <t>2024 state population estimate</t>
  </si>
  <si>
    <t>Insurance market type</t>
  </si>
  <si>
    <t>Political control</t>
  </si>
  <si>
    <t>democratic_trifecta, republican_trifecta, divided_government</t>
  </si>
  <si>
    <t>Abortion policy index</t>
  </si>
  <si>
    <t>supportive_or_protective, mixed, restrictive, near_total_ban_or_total_ban_environment</t>
  </si>
  <si>
    <t>documentation</t>
  </si>
  <si>
    <t>Policy source</t>
  </si>
  <si>
    <t>Statute link</t>
  </si>
  <si>
    <t>Secondary source</t>
  </si>
  <si>
    <t>Coding notes</t>
  </si>
  <si>
    <t>Coder initials</t>
  </si>
  <si>
    <t>Verification status</t>
  </si>
  <si>
    <t>other</t>
  </si>
  <si>
    <t>IVF clinics per 1 million residents</t>
  </si>
  <si>
    <t>count per 1,000,000 residents</t>
  </si>
  <si>
    <t>ART procedures per 1 million residents</t>
  </si>
  <si>
    <t>Subscore insurance</t>
  </si>
  <si>
    <t>Subscore equity</t>
  </si>
  <si>
    <t>Subscore surrogacy</t>
  </si>
  <si>
    <t>Subscore embryo regulation</t>
  </si>
  <si>
    <t>Subscore repro policy env</t>
  </si>
  <si>
    <t>Subscore clinic density</t>
  </si>
  <si>
    <t>Subscore cycle rate</t>
  </si>
  <si>
    <t>Composite State IVF Access Index</t>
  </si>
  <si>
    <t>Tiered interpretation of ivf_access_index</t>
  </si>
  <si>
    <t>Very High / High / Moderate / Low / Very Low</t>
  </si>
  <si>
    <t>RRM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</si>
</sst>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top"/>
    </xf>
  </cellStyleXfs>
  <cellXfs count="10">
    <xf numFmtId="0" fontId="0" fillId="0" borderId="0" xfId="0"/>
    <xf numFmtId="0" fontId="1" fillId="0" borderId="0" xfId="1" applyAlignment="1"/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2" borderId="0" xfId="0" applyFont="1" applyFill="1"/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baseColWidth="10" defaultColWidth="8.83203125" defaultRowHeight="15" x14ac:dyDescent="0.2"/>
  <cols>
    <col min="1" max="1" width="24" customWidth="1"/>
    <col min="2" max="2" width="110" customWidth="1"/>
  </cols>
  <sheetData>
    <row r="1" spans="1:2" ht="21" x14ac:dyDescent="0.25">
      <c r="A1" s="2" t="s">
        <v>0</v>
      </c>
    </row>
    <row r="3" spans="1:2" x14ac:dyDescent="0.2">
      <c r="A3" s="3" t="s">
        <v>1</v>
      </c>
      <c r="B3" t="s">
        <v>2</v>
      </c>
    </row>
    <row r="4" spans="1:2" x14ac:dyDescent="0.2">
      <c r="A4" s="3" t="s">
        <v>3</v>
      </c>
      <c r="B4" t="s">
        <v>4</v>
      </c>
    </row>
    <row r="5" spans="1:2" x14ac:dyDescent="0.2">
      <c r="A5" s="3" t="s">
        <v>5</v>
      </c>
      <c r="B5" t="s">
        <v>6</v>
      </c>
    </row>
    <row r="7" spans="1:2" x14ac:dyDescent="0.2">
      <c r="A7" s="3" t="s">
        <v>7</v>
      </c>
    </row>
    <row r="8" spans="1:2" x14ac:dyDescent="0.2">
      <c r="A8" s="3" t="s">
        <v>8</v>
      </c>
      <c r="B8" t="s">
        <v>9</v>
      </c>
    </row>
    <row r="10" spans="1:2" x14ac:dyDescent="0.2">
      <c r="A10" s="3" t="s">
        <v>10</v>
      </c>
    </row>
    <row r="11" spans="1:2" x14ac:dyDescent="0.2">
      <c r="A11" s="3" t="s">
        <v>11</v>
      </c>
      <c r="B11" t="s">
        <v>12</v>
      </c>
    </row>
    <row r="12" spans="1:2" x14ac:dyDescent="0.2">
      <c r="A12" s="3" t="s">
        <v>13</v>
      </c>
      <c r="B12" t="s">
        <v>14</v>
      </c>
    </row>
    <row r="14" spans="1:2" x14ac:dyDescent="0.2">
      <c r="A14" s="3" t="s">
        <v>15</v>
      </c>
    </row>
    <row r="15" spans="1:2" x14ac:dyDescent="0.2">
      <c r="A15" t="s">
        <v>16</v>
      </c>
    </row>
    <row r="16" spans="1:2" x14ac:dyDescent="0.2">
      <c r="A16" t="s">
        <v>17</v>
      </c>
    </row>
    <row r="17" spans="1:1" x14ac:dyDescent="0.2">
      <c r="A17" t="s">
        <v>18</v>
      </c>
    </row>
    <row r="18" spans="1:1" x14ac:dyDescent="0.2">
      <c r="A18" t="s">
        <v>19</v>
      </c>
    </row>
    <row r="19" spans="1:1" x14ac:dyDescent="0.2">
      <c r="A19" t="s">
        <v>20</v>
      </c>
    </row>
    <row r="20" spans="1:1" x14ac:dyDescent="0.2">
      <c r="A20" t="s">
        <v>21</v>
      </c>
    </row>
    <row r="21" spans="1:1" x14ac:dyDescent="0.2">
      <c r="A2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51"/>
  <sheetViews>
    <sheetView topLeftCell="BI10" workbookViewId="0">
      <selection activeCell="BK42" sqref="BK42"/>
    </sheetView>
  </sheetViews>
  <sheetFormatPr baseColWidth="10" defaultColWidth="8.83203125" defaultRowHeight="15" x14ac:dyDescent="0.2"/>
  <cols>
    <col min="1" max="1" width="18" customWidth="1"/>
    <col min="2" max="2" width="13.1640625" customWidth="1"/>
    <col min="3" max="3" width="12" customWidth="1"/>
    <col min="4" max="4" width="14.33203125" customWidth="1"/>
    <col min="5" max="5" width="18.6640625" customWidth="1"/>
    <col min="6" max="6" width="16.5" customWidth="1"/>
    <col min="7" max="7" width="20" customWidth="1"/>
    <col min="8" max="8" width="18.6640625" customWidth="1"/>
    <col min="9" max="9" width="30" customWidth="1"/>
    <col min="10" max="10" width="26" customWidth="1"/>
    <col min="11" max="11" width="12.1640625" customWidth="1"/>
    <col min="12" max="12" width="15.33203125" customWidth="1"/>
    <col min="13" max="13" width="14.33203125" customWidth="1"/>
    <col min="14" max="26" width="20" customWidth="1"/>
    <col min="27" max="27" width="17.6640625" customWidth="1"/>
    <col min="28" max="28" width="15.33203125" customWidth="1"/>
    <col min="29" max="29" width="20" customWidth="1"/>
    <col min="30" max="30" width="28" customWidth="1"/>
    <col min="31" max="38" width="20" customWidth="1"/>
    <col min="39" max="39" width="18" customWidth="1"/>
    <col min="40" max="42" width="20" customWidth="1"/>
    <col min="43" max="43" width="16.5" customWidth="1"/>
    <col min="44" max="46" width="20" customWidth="1"/>
    <col min="47" max="47" width="15.33203125" customWidth="1"/>
    <col min="48" max="50" width="20" customWidth="1"/>
    <col min="51" max="51" width="12" customWidth="1"/>
    <col min="52" max="52" width="18.6640625" customWidth="1"/>
    <col min="53" max="53" width="20" customWidth="1"/>
    <col min="54" max="54" width="12" customWidth="1"/>
    <col min="55" max="55" width="20" customWidth="1"/>
    <col min="56" max="56" width="18.6640625" customWidth="1"/>
    <col min="57" max="57" width="20" customWidth="1"/>
    <col min="58" max="59" width="28" customWidth="1"/>
    <col min="60" max="60" width="40" customWidth="1"/>
    <col min="61" max="61" width="48" customWidth="1"/>
    <col min="62" max="62" width="15.33203125" customWidth="1"/>
    <col min="63" max="65" width="20" customWidth="1"/>
    <col min="66" max="66" width="19.83203125" customWidth="1"/>
    <col min="67" max="67" width="16.5" customWidth="1"/>
    <col min="68" max="68" width="19.83203125" customWidth="1"/>
    <col min="69" max="72" width="20" customWidth="1"/>
    <col min="73" max="73" width="12" customWidth="1"/>
    <col min="74" max="74" width="14" customWidth="1"/>
  </cols>
  <sheetData>
    <row r="1" spans="1:74" ht="32" x14ac:dyDescent="0.2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  <c r="P1" s="4" t="s">
        <v>38</v>
      </c>
      <c r="Q1" s="4" t="s">
        <v>39</v>
      </c>
      <c r="R1" s="4" t="s">
        <v>40</v>
      </c>
      <c r="S1" s="4" t="s">
        <v>41</v>
      </c>
      <c r="T1" s="4" t="s">
        <v>42</v>
      </c>
      <c r="U1" s="4" t="s">
        <v>43</v>
      </c>
      <c r="V1" s="4" t="s">
        <v>44</v>
      </c>
      <c r="W1" s="4" t="s">
        <v>45</v>
      </c>
      <c r="X1" s="4" t="s">
        <v>46</v>
      </c>
      <c r="Y1" s="4" t="s">
        <v>47</v>
      </c>
      <c r="Z1" s="4" t="s">
        <v>48</v>
      </c>
      <c r="AA1" s="4" t="s">
        <v>49</v>
      </c>
      <c r="AB1" s="4" t="s">
        <v>50</v>
      </c>
      <c r="AC1" s="4" t="s">
        <v>51</v>
      </c>
      <c r="AD1" s="4" t="s">
        <v>52</v>
      </c>
      <c r="AE1" s="4" t="s">
        <v>53</v>
      </c>
      <c r="AF1" s="4" t="s">
        <v>54</v>
      </c>
      <c r="AG1" s="4" t="s">
        <v>55</v>
      </c>
      <c r="AH1" s="4" t="s">
        <v>56</v>
      </c>
      <c r="AI1" s="4" t="s">
        <v>57</v>
      </c>
      <c r="AJ1" s="4" t="s">
        <v>58</v>
      </c>
      <c r="AK1" s="4" t="s">
        <v>59</v>
      </c>
      <c r="AL1" s="4" t="s">
        <v>60</v>
      </c>
      <c r="AM1" s="4" t="s">
        <v>61</v>
      </c>
      <c r="AN1" s="4" t="s">
        <v>62</v>
      </c>
      <c r="AO1" s="4" t="s">
        <v>63</v>
      </c>
      <c r="AP1" s="4" t="s">
        <v>64</v>
      </c>
      <c r="AQ1" s="4" t="s">
        <v>65</v>
      </c>
      <c r="AR1" s="4" t="s">
        <v>66</v>
      </c>
      <c r="AS1" s="4" t="s">
        <v>67</v>
      </c>
      <c r="AT1" s="4" t="s">
        <v>68</v>
      </c>
      <c r="AU1" s="4" t="s">
        <v>69</v>
      </c>
      <c r="AV1" s="4" t="s">
        <v>70</v>
      </c>
      <c r="AW1" s="4" t="s">
        <v>71</v>
      </c>
      <c r="AX1" s="4" t="s">
        <v>72</v>
      </c>
      <c r="AY1" s="4" t="s">
        <v>73</v>
      </c>
      <c r="AZ1" s="4" t="s">
        <v>74</v>
      </c>
      <c r="BA1" s="4" t="s">
        <v>75</v>
      </c>
      <c r="BB1" s="4" t="s">
        <v>76</v>
      </c>
      <c r="BC1" s="4" t="s">
        <v>77</v>
      </c>
      <c r="BD1" s="4" t="s">
        <v>78</v>
      </c>
      <c r="BE1" s="4" t="s">
        <v>79</v>
      </c>
      <c r="BF1" s="4" t="s">
        <v>80</v>
      </c>
      <c r="BG1" s="4" t="s">
        <v>81</v>
      </c>
      <c r="BH1" s="4" t="s">
        <v>82</v>
      </c>
      <c r="BI1" s="4" t="s">
        <v>83</v>
      </c>
      <c r="BJ1" s="4" t="s">
        <v>84</v>
      </c>
      <c r="BK1" s="4" t="s">
        <v>85</v>
      </c>
      <c r="BL1" s="5" t="s">
        <v>86</v>
      </c>
      <c r="BM1" s="5" t="s">
        <v>87</v>
      </c>
      <c r="BN1" s="5" t="s">
        <v>88</v>
      </c>
      <c r="BO1" s="5" t="s">
        <v>89</v>
      </c>
      <c r="BP1" s="5" t="s">
        <v>90</v>
      </c>
      <c r="BQ1" s="5" t="s">
        <v>91</v>
      </c>
      <c r="BR1" s="5" t="s">
        <v>92</v>
      </c>
      <c r="BS1" s="5" t="s">
        <v>93</v>
      </c>
      <c r="BT1" s="5" t="s">
        <v>94</v>
      </c>
      <c r="BU1" s="5" t="s">
        <v>95</v>
      </c>
      <c r="BV1" s="5" t="s">
        <v>96</v>
      </c>
    </row>
    <row r="2" spans="1:74" x14ac:dyDescent="0.2">
      <c r="A2" t="s">
        <v>97</v>
      </c>
      <c r="B2" t="s">
        <v>98</v>
      </c>
      <c r="C2">
        <v>2026</v>
      </c>
      <c r="D2" t="s">
        <v>99</v>
      </c>
      <c r="E2">
        <v>0</v>
      </c>
      <c r="F2" t="s">
        <v>100</v>
      </c>
      <c r="G2" t="s">
        <v>4</v>
      </c>
      <c r="H2" t="s">
        <v>101</v>
      </c>
      <c r="I2" t="s">
        <v>102</v>
      </c>
      <c r="J2" t="s">
        <v>103</v>
      </c>
      <c r="K2">
        <v>0</v>
      </c>
      <c r="L2">
        <v>0</v>
      </c>
      <c r="M2">
        <v>0</v>
      </c>
      <c r="N2">
        <v>0</v>
      </c>
      <c r="O2" t="s">
        <v>104</v>
      </c>
      <c r="P2">
        <v>0</v>
      </c>
      <c r="Q2">
        <v>0</v>
      </c>
      <c r="R2">
        <v>0</v>
      </c>
      <c r="U2" t="s">
        <v>101</v>
      </c>
      <c r="V2">
        <v>0</v>
      </c>
      <c r="X2" t="s">
        <v>105</v>
      </c>
      <c r="Y2" t="s">
        <v>105</v>
      </c>
      <c r="Z2" t="s">
        <v>105</v>
      </c>
      <c r="AA2" t="s">
        <v>106</v>
      </c>
      <c r="AB2" t="s">
        <v>106</v>
      </c>
      <c r="AC2" t="s">
        <v>107</v>
      </c>
      <c r="AD2" t="s">
        <v>105</v>
      </c>
      <c r="AE2" t="s">
        <v>105</v>
      </c>
      <c r="AF2" t="s">
        <v>105</v>
      </c>
      <c r="AG2" t="s">
        <v>105</v>
      </c>
      <c r="AH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P2" t="s">
        <v>116</v>
      </c>
      <c r="AQ2" t="s">
        <v>117</v>
      </c>
      <c r="AR2" t="s">
        <v>118</v>
      </c>
      <c r="AS2" t="s">
        <v>119</v>
      </c>
      <c r="AT2" t="s">
        <v>120</v>
      </c>
      <c r="AU2" t="s">
        <v>121</v>
      </c>
      <c r="AV2">
        <v>0</v>
      </c>
      <c r="AW2">
        <v>0</v>
      </c>
      <c r="AX2">
        <v>0</v>
      </c>
      <c r="AY2" s="6">
        <f t="shared" ref="AY2:AY33" si="0">BU2</f>
        <v>12</v>
      </c>
      <c r="AZ2">
        <v>5</v>
      </c>
      <c r="BA2">
        <v>1694</v>
      </c>
      <c r="BB2">
        <v>5157699</v>
      </c>
      <c r="BC2" t="s">
        <v>122</v>
      </c>
      <c r="BD2" t="s">
        <v>123</v>
      </c>
      <c r="BE2" t="s">
        <v>124</v>
      </c>
      <c r="BF2" t="s">
        <v>125</v>
      </c>
      <c r="BG2" s="1" t="s">
        <v>16</v>
      </c>
      <c r="BH2" s="1" t="s">
        <v>126</v>
      </c>
      <c r="BI2" t="s">
        <v>127</v>
      </c>
      <c r="BJ2" t="s">
        <v>619</v>
      </c>
      <c r="BK2" t="s">
        <v>128</v>
      </c>
      <c r="BL2" s="7">
        <f t="shared" ref="BL2:BL33" si="1">IFERROR((AZ2/BB2)*1000000,0)</f>
        <v>0.96942454377426834</v>
      </c>
      <c r="BM2" s="7">
        <f t="shared" ref="BM2:BM33" si="2">IFERROR((BA2/BB2)*1000000,0)</f>
        <v>328.44103543072214</v>
      </c>
      <c r="BN2" s="6">
        <f>IFERROR(VLOOKUP(H2,index_logic!$A$4:$B$8,2,FALSE),0)</f>
        <v>0</v>
      </c>
      <c r="BO2" s="6">
        <f>IFERROR(VLOOKUP(AD2,index_logic!$D$4:$E$21,2,FALSE),0)</f>
        <v>3</v>
      </c>
      <c r="BP2" s="6">
        <f>IFERROR(VLOOKUP(AM2,index_logic!$G$4:$H$6,2,FALSE),0)</f>
        <v>3</v>
      </c>
      <c r="BQ2" s="6">
        <f>IFERROR(VLOOKUP(AH2,index_logic!$J$4:$K$6,2,FALSE),0)</f>
        <v>0</v>
      </c>
      <c r="BR2" s="6">
        <f>IFERROR(VLOOKUP(BE2,index_logic!$M$4:$N$7,2,FALSE),0)</f>
        <v>0</v>
      </c>
      <c r="BS2" s="6">
        <f>IFERROR(VLOOKUP(BL2,index_logic!$P$4:$Q$9,2,TRUE),0)</f>
        <v>4</v>
      </c>
      <c r="BT2" s="6">
        <f>IFERROR(VLOOKUP(BM2,index_logic!$S$4:$T$9,2,TRUE),0)</f>
        <v>2</v>
      </c>
      <c r="BU2" s="6">
        <f t="shared" ref="BU2:BU33" si="3">BN2+BO2+BP2+BQ2+BR2+BS2+BT2</f>
        <v>12</v>
      </c>
      <c r="BV2" t="str">
        <f t="shared" ref="BV2:BV33" si="4">IF(BU2&gt;=80,"Very High",IF(BU2&gt;=65,"High",IF(BU2&gt;=50,"Moderate",IF(BU2&gt;=35,"Low","Very Low"))))</f>
        <v>Very Low</v>
      </c>
    </row>
    <row r="3" spans="1:74" x14ac:dyDescent="0.2">
      <c r="A3" t="s">
        <v>129</v>
      </c>
      <c r="B3" t="s">
        <v>130</v>
      </c>
      <c r="C3">
        <v>2026</v>
      </c>
      <c r="D3" t="s">
        <v>99</v>
      </c>
      <c r="E3">
        <v>0</v>
      </c>
      <c r="F3" t="s">
        <v>100</v>
      </c>
      <c r="G3" t="s">
        <v>4</v>
      </c>
      <c r="H3" t="s">
        <v>101</v>
      </c>
      <c r="I3" t="s">
        <v>102</v>
      </c>
      <c r="J3" t="s">
        <v>103</v>
      </c>
      <c r="K3">
        <v>0</v>
      </c>
      <c r="L3">
        <v>0</v>
      </c>
      <c r="M3">
        <v>0</v>
      </c>
      <c r="N3">
        <v>0</v>
      </c>
      <c r="O3" t="s">
        <v>104</v>
      </c>
      <c r="P3">
        <v>0</v>
      </c>
      <c r="Q3">
        <v>0</v>
      </c>
      <c r="R3">
        <v>0</v>
      </c>
      <c r="U3" t="s">
        <v>101</v>
      </c>
      <c r="V3">
        <v>0</v>
      </c>
      <c r="X3" t="s">
        <v>105</v>
      </c>
      <c r="Y3" t="s">
        <v>105</v>
      </c>
      <c r="Z3" t="s">
        <v>105</v>
      </c>
      <c r="AA3" t="s">
        <v>106</v>
      </c>
      <c r="AB3" t="s">
        <v>106</v>
      </c>
      <c r="AC3" t="s">
        <v>107</v>
      </c>
      <c r="AD3" t="s">
        <v>105</v>
      </c>
      <c r="AE3" t="s">
        <v>105</v>
      </c>
      <c r="AF3" t="s">
        <v>105</v>
      </c>
      <c r="AG3" t="s">
        <v>105</v>
      </c>
      <c r="AH3" t="s">
        <v>131</v>
      </c>
      <c r="AI3" t="s">
        <v>131</v>
      </c>
      <c r="AJ3" t="s">
        <v>131</v>
      </c>
      <c r="AK3" t="s">
        <v>131</v>
      </c>
      <c r="AL3" t="s">
        <v>131</v>
      </c>
      <c r="AM3" t="s">
        <v>113</v>
      </c>
      <c r="AN3" t="s">
        <v>116</v>
      </c>
      <c r="AO3" t="s">
        <v>115</v>
      </c>
      <c r="AP3" t="s">
        <v>116</v>
      </c>
      <c r="AQ3" t="s">
        <v>117</v>
      </c>
      <c r="AR3" t="s">
        <v>118</v>
      </c>
      <c r="AS3" t="s">
        <v>119</v>
      </c>
      <c r="AT3" t="s">
        <v>120</v>
      </c>
      <c r="AU3" t="s">
        <v>121</v>
      </c>
      <c r="AV3">
        <v>0</v>
      </c>
      <c r="AW3">
        <v>0</v>
      </c>
      <c r="AX3">
        <v>0</v>
      </c>
      <c r="AY3" s="6">
        <f t="shared" si="0"/>
        <v>38</v>
      </c>
      <c r="AZ3">
        <v>1</v>
      </c>
      <c r="BA3">
        <v>192</v>
      </c>
      <c r="BB3">
        <v>740133</v>
      </c>
      <c r="BC3" t="s">
        <v>122</v>
      </c>
      <c r="BD3" t="s">
        <v>132</v>
      </c>
      <c r="BE3" t="s">
        <v>133</v>
      </c>
      <c r="BF3" t="s">
        <v>125</v>
      </c>
      <c r="BG3" s="1" t="s">
        <v>16</v>
      </c>
      <c r="BH3" s="1" t="s">
        <v>134</v>
      </c>
      <c r="BI3" t="s">
        <v>127</v>
      </c>
      <c r="BJ3" t="s">
        <v>619</v>
      </c>
      <c r="BK3" t="s">
        <v>128</v>
      </c>
      <c r="BL3" s="7">
        <f t="shared" si="1"/>
        <v>1.3511085169827586</v>
      </c>
      <c r="BM3" s="7">
        <f t="shared" si="2"/>
        <v>259.41283526068963</v>
      </c>
      <c r="BN3" s="6">
        <f>IFERROR(VLOOKUP(H3,index_logic!$A$4:$B$8,2,FALSE),0)</f>
        <v>0</v>
      </c>
      <c r="BO3" s="6">
        <f>IFERROR(VLOOKUP(AD3,index_logic!$D$4:$E$21,2,FALSE),0)</f>
        <v>3</v>
      </c>
      <c r="BP3" s="6">
        <f>IFERROR(VLOOKUP(AM3,index_logic!$G$4:$H$6,2,FALSE),0)</f>
        <v>3</v>
      </c>
      <c r="BQ3" s="6">
        <f>IFERROR(VLOOKUP(AH3,index_logic!$J$4:$K$6,2,FALSE),0)</f>
        <v>15</v>
      </c>
      <c r="BR3" s="6">
        <f>IFERROR(VLOOKUP(BE3,index_logic!$M$4:$N$7,2,FALSE),0)</f>
        <v>10</v>
      </c>
      <c r="BS3" s="6">
        <f>IFERROR(VLOOKUP(BL3,index_logic!$P$4:$Q$9,2,TRUE),0)</f>
        <v>5</v>
      </c>
      <c r="BT3" s="6">
        <f>IFERROR(VLOOKUP(BM3,index_logic!$S$4:$T$9,2,TRUE),0)</f>
        <v>2</v>
      </c>
      <c r="BU3" s="6">
        <f t="shared" si="3"/>
        <v>38</v>
      </c>
      <c r="BV3" t="str">
        <f t="shared" si="4"/>
        <v>Low</v>
      </c>
    </row>
    <row r="4" spans="1:74" x14ac:dyDescent="0.2">
      <c r="A4" t="s">
        <v>135</v>
      </c>
      <c r="B4" t="s">
        <v>136</v>
      </c>
      <c r="C4">
        <v>2026</v>
      </c>
      <c r="D4" t="s">
        <v>99</v>
      </c>
      <c r="E4">
        <v>0</v>
      </c>
      <c r="F4" t="s">
        <v>100</v>
      </c>
      <c r="G4" t="s">
        <v>4</v>
      </c>
      <c r="H4" t="s">
        <v>101</v>
      </c>
      <c r="I4" t="s">
        <v>102</v>
      </c>
      <c r="J4" t="s">
        <v>103</v>
      </c>
      <c r="K4">
        <v>0</v>
      </c>
      <c r="L4">
        <v>0</v>
      </c>
      <c r="M4">
        <v>0</v>
      </c>
      <c r="N4">
        <v>0</v>
      </c>
      <c r="O4" t="s">
        <v>104</v>
      </c>
      <c r="P4">
        <v>0</v>
      </c>
      <c r="Q4">
        <v>0</v>
      </c>
      <c r="R4">
        <v>0</v>
      </c>
      <c r="U4" t="s">
        <v>101</v>
      </c>
      <c r="V4">
        <v>0</v>
      </c>
      <c r="X4" t="s">
        <v>105</v>
      </c>
      <c r="Y4" t="s">
        <v>105</v>
      </c>
      <c r="Z4" t="s">
        <v>105</v>
      </c>
      <c r="AA4" t="s">
        <v>106</v>
      </c>
      <c r="AB4" t="s">
        <v>106</v>
      </c>
      <c r="AC4" t="s">
        <v>107</v>
      </c>
      <c r="AD4" t="s">
        <v>105</v>
      </c>
      <c r="AE4" t="s">
        <v>105</v>
      </c>
      <c r="AF4" t="s">
        <v>105</v>
      </c>
      <c r="AG4" t="s">
        <v>105</v>
      </c>
      <c r="AH4" t="s">
        <v>131</v>
      </c>
      <c r="AI4" t="s">
        <v>131</v>
      </c>
      <c r="AJ4" t="s">
        <v>131</v>
      </c>
      <c r="AK4" t="s">
        <v>131</v>
      </c>
      <c r="AL4" t="s">
        <v>131</v>
      </c>
      <c r="AM4" t="s">
        <v>113</v>
      </c>
      <c r="AN4" t="s">
        <v>116</v>
      </c>
      <c r="AO4" t="s">
        <v>137</v>
      </c>
      <c r="AP4" t="s">
        <v>116</v>
      </c>
      <c r="AQ4" t="s">
        <v>138</v>
      </c>
      <c r="AR4" t="s">
        <v>118</v>
      </c>
      <c r="AS4" t="s">
        <v>119</v>
      </c>
      <c r="AT4" t="s">
        <v>120</v>
      </c>
      <c r="AU4" t="s">
        <v>121</v>
      </c>
      <c r="AV4">
        <v>0</v>
      </c>
      <c r="AW4">
        <v>0</v>
      </c>
      <c r="AX4">
        <v>0</v>
      </c>
      <c r="AY4" s="6">
        <f t="shared" si="0"/>
        <v>31</v>
      </c>
      <c r="AZ4">
        <v>10</v>
      </c>
      <c r="BA4">
        <v>3680</v>
      </c>
      <c r="BB4">
        <v>7582384</v>
      </c>
      <c r="BC4" t="s">
        <v>122</v>
      </c>
      <c r="BD4" t="s">
        <v>132</v>
      </c>
      <c r="BE4" t="s">
        <v>139</v>
      </c>
      <c r="BF4" t="s">
        <v>125</v>
      </c>
      <c r="BG4" s="1" t="s">
        <v>16</v>
      </c>
      <c r="BH4" s="1" t="s">
        <v>134</v>
      </c>
      <c r="BI4" t="s">
        <v>127</v>
      </c>
      <c r="BJ4" t="s">
        <v>619</v>
      </c>
      <c r="BK4" t="s">
        <v>128</v>
      </c>
      <c r="BL4" s="7">
        <f t="shared" si="1"/>
        <v>1.3188464208618291</v>
      </c>
      <c r="BM4" s="7">
        <f t="shared" si="2"/>
        <v>485.33548287715314</v>
      </c>
      <c r="BN4" s="6">
        <f>IFERROR(VLOOKUP(H4,index_logic!$A$4:$B$8,2,FALSE),0)</f>
        <v>0</v>
      </c>
      <c r="BO4" s="6">
        <f>IFERROR(VLOOKUP(AD4,index_logic!$D$4:$E$21,2,FALSE),0)</f>
        <v>3</v>
      </c>
      <c r="BP4" s="6">
        <f>IFERROR(VLOOKUP(AM4,index_logic!$G$4:$H$6,2,FALSE),0)</f>
        <v>3</v>
      </c>
      <c r="BQ4" s="6">
        <f>IFERROR(VLOOKUP(AH4,index_logic!$J$4:$K$6,2,FALSE),0)</f>
        <v>15</v>
      </c>
      <c r="BR4" s="6">
        <f>IFERROR(VLOOKUP(BE4,index_logic!$M$4:$N$7,2,FALSE),0)</f>
        <v>3</v>
      </c>
      <c r="BS4" s="6">
        <f>IFERROR(VLOOKUP(BL4,index_logic!$P$4:$Q$9,2,TRUE),0)</f>
        <v>5</v>
      </c>
      <c r="BT4" s="6">
        <f>IFERROR(VLOOKUP(BM4,index_logic!$S$4:$T$9,2,TRUE),0)</f>
        <v>2</v>
      </c>
      <c r="BU4" s="6">
        <f t="shared" si="3"/>
        <v>31</v>
      </c>
      <c r="BV4" t="str">
        <f t="shared" si="4"/>
        <v>Very Low</v>
      </c>
    </row>
    <row r="5" spans="1:74" x14ac:dyDescent="0.2">
      <c r="A5" t="s">
        <v>140</v>
      </c>
      <c r="B5" t="s">
        <v>141</v>
      </c>
      <c r="C5">
        <v>2026</v>
      </c>
      <c r="D5" t="s">
        <v>142</v>
      </c>
      <c r="E5">
        <v>1987</v>
      </c>
      <c r="F5" t="s">
        <v>100</v>
      </c>
      <c r="G5" t="s">
        <v>4</v>
      </c>
      <c r="H5" t="s">
        <v>143</v>
      </c>
      <c r="I5" t="s">
        <v>144</v>
      </c>
      <c r="J5" t="s">
        <v>145</v>
      </c>
      <c r="K5" t="s">
        <v>146</v>
      </c>
      <c r="L5" t="s">
        <v>147</v>
      </c>
      <c r="M5">
        <v>15000</v>
      </c>
      <c r="N5" t="s">
        <v>116</v>
      </c>
      <c r="O5" t="s">
        <v>104</v>
      </c>
      <c r="P5" t="s">
        <v>146</v>
      </c>
      <c r="Q5" t="s">
        <v>146</v>
      </c>
      <c r="R5" t="s">
        <v>104</v>
      </c>
      <c r="S5" t="s">
        <v>104</v>
      </c>
      <c r="T5" t="s">
        <v>104</v>
      </c>
      <c r="U5" t="s">
        <v>101</v>
      </c>
      <c r="V5">
        <v>0</v>
      </c>
      <c r="W5" t="s">
        <v>104</v>
      </c>
      <c r="X5" t="s">
        <v>148</v>
      </c>
      <c r="Y5" t="s">
        <v>149</v>
      </c>
      <c r="Z5" t="s">
        <v>150</v>
      </c>
      <c r="AA5" t="s">
        <v>151</v>
      </c>
      <c r="AB5" t="s">
        <v>151</v>
      </c>
      <c r="AC5" t="s">
        <v>107</v>
      </c>
      <c r="AD5" t="s">
        <v>152</v>
      </c>
      <c r="AE5" t="s">
        <v>153</v>
      </c>
      <c r="AF5" t="s">
        <v>154</v>
      </c>
      <c r="AG5" t="s">
        <v>155</v>
      </c>
      <c r="AH5" t="s">
        <v>131</v>
      </c>
      <c r="AI5" t="s">
        <v>131</v>
      </c>
      <c r="AJ5" t="s">
        <v>131</v>
      </c>
      <c r="AK5" t="s">
        <v>131</v>
      </c>
      <c r="AL5" t="s">
        <v>131</v>
      </c>
      <c r="AM5" t="s">
        <v>113</v>
      </c>
      <c r="AN5" t="s">
        <v>116</v>
      </c>
      <c r="AO5" t="s">
        <v>115</v>
      </c>
      <c r="AP5" t="s">
        <v>116</v>
      </c>
      <c r="AQ5" t="s">
        <v>117</v>
      </c>
      <c r="AR5" t="s">
        <v>118</v>
      </c>
      <c r="AS5" t="s">
        <v>119</v>
      </c>
      <c r="AT5" t="s">
        <v>120</v>
      </c>
      <c r="AU5" t="s">
        <v>121</v>
      </c>
      <c r="AV5">
        <v>1987</v>
      </c>
      <c r="AW5">
        <v>2026</v>
      </c>
      <c r="AX5">
        <v>0</v>
      </c>
      <c r="AY5" s="6">
        <f t="shared" si="0"/>
        <v>52</v>
      </c>
      <c r="AZ5">
        <v>1</v>
      </c>
      <c r="BA5">
        <v>1113</v>
      </c>
      <c r="BB5">
        <v>3088354</v>
      </c>
      <c r="BC5" t="s">
        <v>156</v>
      </c>
      <c r="BD5" t="s">
        <v>123</v>
      </c>
      <c r="BE5" t="s">
        <v>124</v>
      </c>
      <c r="BF5" t="s">
        <v>157</v>
      </c>
      <c r="BG5" s="1" t="s">
        <v>158</v>
      </c>
      <c r="BH5" s="1" t="s">
        <v>159</v>
      </c>
      <c r="BI5" t="s">
        <v>160</v>
      </c>
      <c r="BJ5" t="s">
        <v>619</v>
      </c>
      <c r="BK5" t="s">
        <v>128</v>
      </c>
      <c r="BL5" s="7">
        <f t="shared" si="1"/>
        <v>0.32379707766661464</v>
      </c>
      <c r="BM5" s="7">
        <f t="shared" si="2"/>
        <v>360.3861474429421</v>
      </c>
      <c r="BN5" s="6">
        <f>IFERROR(VLOOKUP(H5,index_logic!$A$4:$B$8,2,FALSE),0)</f>
        <v>30</v>
      </c>
      <c r="BO5" s="6">
        <f>IFERROR(VLOOKUP(AD5,index_logic!$D$4:$E$21,2,FALSE),0)</f>
        <v>0</v>
      </c>
      <c r="BP5" s="6">
        <f>IFERROR(VLOOKUP(AM5,index_logic!$G$4:$H$6,2,FALSE),0)</f>
        <v>3</v>
      </c>
      <c r="BQ5" s="6">
        <f>IFERROR(VLOOKUP(AH5,index_logic!$J$4:$K$6,2,FALSE),0)</f>
        <v>15</v>
      </c>
      <c r="BR5" s="6">
        <f>IFERROR(VLOOKUP(BE5,index_logic!$M$4:$N$7,2,FALSE),0)</f>
        <v>0</v>
      </c>
      <c r="BS5" s="6">
        <f>IFERROR(VLOOKUP(BL5,index_logic!$P$4:$Q$9,2,TRUE),0)</f>
        <v>2</v>
      </c>
      <c r="BT5" s="6">
        <f>IFERROR(VLOOKUP(BM5,index_logic!$S$4:$T$9,2,TRUE),0)</f>
        <v>2</v>
      </c>
      <c r="BU5" s="6">
        <f t="shared" si="3"/>
        <v>52</v>
      </c>
      <c r="BV5" t="str">
        <f t="shared" si="4"/>
        <v>Moderate</v>
      </c>
    </row>
    <row r="6" spans="1:74" x14ac:dyDescent="0.2">
      <c r="A6" t="s">
        <v>161</v>
      </c>
      <c r="B6" t="s">
        <v>162</v>
      </c>
      <c r="C6">
        <v>2026</v>
      </c>
      <c r="D6" t="s">
        <v>142</v>
      </c>
      <c r="E6">
        <v>2026</v>
      </c>
      <c r="F6" t="s">
        <v>100</v>
      </c>
      <c r="G6" t="s">
        <v>4</v>
      </c>
      <c r="H6" t="s">
        <v>163</v>
      </c>
      <c r="I6" t="s">
        <v>164</v>
      </c>
      <c r="J6" t="s">
        <v>165</v>
      </c>
      <c r="K6" t="s">
        <v>166</v>
      </c>
      <c r="L6" t="s">
        <v>146</v>
      </c>
      <c r="M6" t="s">
        <v>146</v>
      </c>
      <c r="N6" t="s">
        <v>114</v>
      </c>
      <c r="O6" t="s">
        <v>114</v>
      </c>
      <c r="P6" t="s">
        <v>146</v>
      </c>
      <c r="Q6" t="s">
        <v>167</v>
      </c>
      <c r="R6" t="s">
        <v>114</v>
      </c>
      <c r="S6" t="s">
        <v>168</v>
      </c>
      <c r="T6" t="s">
        <v>169</v>
      </c>
      <c r="U6" t="s">
        <v>101</v>
      </c>
      <c r="V6">
        <v>0</v>
      </c>
      <c r="W6" t="s">
        <v>170</v>
      </c>
      <c r="X6" t="s">
        <v>171</v>
      </c>
      <c r="Y6" t="s">
        <v>172</v>
      </c>
      <c r="Z6" t="s">
        <v>107</v>
      </c>
      <c r="AA6" t="s">
        <v>151</v>
      </c>
      <c r="AB6" t="s">
        <v>151</v>
      </c>
      <c r="AC6" t="s">
        <v>107</v>
      </c>
      <c r="AD6" t="s">
        <v>173</v>
      </c>
      <c r="AE6" t="s">
        <v>173</v>
      </c>
      <c r="AF6" t="s">
        <v>174</v>
      </c>
      <c r="AG6" t="s">
        <v>107</v>
      </c>
      <c r="AH6" t="s">
        <v>131</v>
      </c>
      <c r="AI6" t="s">
        <v>131</v>
      </c>
      <c r="AJ6" t="s">
        <v>131</v>
      </c>
      <c r="AK6" t="s">
        <v>131</v>
      </c>
      <c r="AL6" t="s">
        <v>131</v>
      </c>
      <c r="AM6" t="s">
        <v>175</v>
      </c>
      <c r="AN6" t="s">
        <v>114</v>
      </c>
      <c r="AO6" t="s">
        <v>114</v>
      </c>
      <c r="AP6" t="s">
        <v>114</v>
      </c>
      <c r="AQ6" t="s">
        <v>176</v>
      </c>
      <c r="AR6" t="s">
        <v>118</v>
      </c>
      <c r="AS6" t="s">
        <v>119</v>
      </c>
      <c r="AT6" t="s">
        <v>120</v>
      </c>
      <c r="AU6" t="s">
        <v>121</v>
      </c>
      <c r="AV6">
        <v>2024</v>
      </c>
      <c r="AW6">
        <v>2026</v>
      </c>
      <c r="AX6">
        <v>0</v>
      </c>
      <c r="AY6" s="6">
        <f t="shared" si="0"/>
        <v>88</v>
      </c>
      <c r="AZ6">
        <v>85</v>
      </c>
      <c r="BA6">
        <v>63018</v>
      </c>
      <c r="BB6">
        <v>39431263</v>
      </c>
      <c r="BC6" t="s">
        <v>177</v>
      </c>
      <c r="BD6" t="s">
        <v>178</v>
      </c>
      <c r="BE6" t="s">
        <v>133</v>
      </c>
      <c r="BF6" t="s">
        <v>179</v>
      </c>
      <c r="BG6" s="1" t="s">
        <v>180</v>
      </c>
      <c r="BH6" s="1" t="s">
        <v>181</v>
      </c>
      <c r="BI6" t="s">
        <v>182</v>
      </c>
      <c r="BJ6" t="s">
        <v>619</v>
      </c>
      <c r="BK6" t="s">
        <v>128</v>
      </c>
      <c r="BL6" s="7">
        <f t="shared" si="1"/>
        <v>2.1556499470990822</v>
      </c>
      <c r="BM6" s="7">
        <f t="shared" si="2"/>
        <v>1598.1735101916465</v>
      </c>
      <c r="BN6" s="6">
        <f>IFERROR(VLOOKUP(H6,index_logic!$A$4:$B$8,2,FALSE),0)</f>
        <v>22</v>
      </c>
      <c r="BO6" s="6">
        <f>IFERROR(VLOOKUP(AD6,index_logic!$D$4:$E$21,2,FALSE),0)</f>
        <v>20</v>
      </c>
      <c r="BP6" s="6">
        <f>IFERROR(VLOOKUP(AM6,index_logic!$G$4:$H$6,2,FALSE),0)</f>
        <v>10</v>
      </c>
      <c r="BQ6" s="6">
        <f>IFERROR(VLOOKUP(AH6,index_logic!$J$4:$K$6,2,FALSE),0)</f>
        <v>15</v>
      </c>
      <c r="BR6" s="6">
        <f>IFERROR(VLOOKUP(BE6,index_logic!$M$4:$N$7,2,FALSE),0)</f>
        <v>10</v>
      </c>
      <c r="BS6" s="6">
        <f>IFERROR(VLOOKUP(BL6,index_logic!$P$4:$Q$9,2,TRUE),0)</f>
        <v>5</v>
      </c>
      <c r="BT6" s="6">
        <f>IFERROR(VLOOKUP(BM6,index_logic!$S$4:$T$9,2,TRUE),0)</f>
        <v>6</v>
      </c>
      <c r="BU6" s="6">
        <f t="shared" si="3"/>
        <v>88</v>
      </c>
      <c r="BV6" t="str">
        <f t="shared" si="4"/>
        <v>Very High</v>
      </c>
    </row>
    <row r="7" spans="1:74" x14ac:dyDescent="0.2">
      <c r="A7" t="s">
        <v>183</v>
      </c>
      <c r="B7" t="s">
        <v>184</v>
      </c>
      <c r="C7">
        <v>2026</v>
      </c>
      <c r="D7" t="s">
        <v>142</v>
      </c>
      <c r="E7">
        <v>2022</v>
      </c>
      <c r="F7" t="s">
        <v>100</v>
      </c>
      <c r="G7" t="s">
        <v>4</v>
      </c>
      <c r="H7" t="s">
        <v>143</v>
      </c>
      <c r="I7" t="s">
        <v>185</v>
      </c>
      <c r="J7" t="s">
        <v>186</v>
      </c>
      <c r="K7" t="s">
        <v>166</v>
      </c>
      <c r="L7" t="s">
        <v>146</v>
      </c>
      <c r="M7" t="s">
        <v>146</v>
      </c>
      <c r="N7" t="s">
        <v>114</v>
      </c>
      <c r="O7" t="s">
        <v>114</v>
      </c>
      <c r="P7" t="s">
        <v>146</v>
      </c>
      <c r="Q7" t="s">
        <v>167</v>
      </c>
      <c r="R7" t="s">
        <v>114</v>
      </c>
      <c r="S7" t="s">
        <v>104</v>
      </c>
      <c r="T7" t="s">
        <v>104</v>
      </c>
      <c r="U7" t="s">
        <v>101</v>
      </c>
      <c r="V7">
        <v>0</v>
      </c>
      <c r="W7" t="s">
        <v>104</v>
      </c>
      <c r="X7" t="s">
        <v>171</v>
      </c>
      <c r="Y7" t="s">
        <v>187</v>
      </c>
      <c r="Z7" t="s">
        <v>107</v>
      </c>
      <c r="AA7" t="s">
        <v>188</v>
      </c>
      <c r="AB7" t="s">
        <v>188</v>
      </c>
      <c r="AC7" t="s">
        <v>107</v>
      </c>
      <c r="AD7" t="s">
        <v>189</v>
      </c>
      <c r="AE7" t="s">
        <v>190</v>
      </c>
      <c r="AF7" t="s">
        <v>191</v>
      </c>
      <c r="AG7" t="s">
        <v>107</v>
      </c>
      <c r="AH7" t="s">
        <v>131</v>
      </c>
      <c r="AI7" t="s">
        <v>131</v>
      </c>
      <c r="AJ7" t="s">
        <v>131</v>
      </c>
      <c r="AK7" t="s">
        <v>131</v>
      </c>
      <c r="AL7" t="s">
        <v>131</v>
      </c>
      <c r="AM7" t="s">
        <v>175</v>
      </c>
      <c r="AN7" t="s">
        <v>114</v>
      </c>
      <c r="AO7" t="s">
        <v>114</v>
      </c>
      <c r="AP7" t="s">
        <v>192</v>
      </c>
      <c r="AQ7" t="s">
        <v>176</v>
      </c>
      <c r="AR7" t="s">
        <v>118</v>
      </c>
      <c r="AS7" t="s">
        <v>119</v>
      </c>
      <c r="AT7" t="s">
        <v>120</v>
      </c>
      <c r="AU7" t="s">
        <v>121</v>
      </c>
      <c r="AV7">
        <v>2020</v>
      </c>
      <c r="AW7">
        <v>2022</v>
      </c>
      <c r="AX7">
        <v>0</v>
      </c>
      <c r="AY7" s="6">
        <f t="shared" si="0"/>
        <v>92</v>
      </c>
      <c r="AZ7">
        <v>11</v>
      </c>
      <c r="BA7">
        <v>5258</v>
      </c>
      <c r="BB7">
        <v>5957493</v>
      </c>
      <c r="BC7" t="s">
        <v>177</v>
      </c>
      <c r="BD7" t="s">
        <v>178</v>
      </c>
      <c r="BE7" t="s">
        <v>133</v>
      </c>
      <c r="BF7" t="s">
        <v>193</v>
      </c>
      <c r="BG7" s="1" t="s">
        <v>194</v>
      </c>
      <c r="BH7" s="1" t="s">
        <v>195</v>
      </c>
      <c r="BI7" t="s">
        <v>196</v>
      </c>
      <c r="BJ7" t="s">
        <v>619</v>
      </c>
      <c r="BK7" t="s">
        <v>128</v>
      </c>
      <c r="BL7" s="7">
        <f t="shared" si="1"/>
        <v>1.8464142551237577</v>
      </c>
      <c r="BM7" s="7">
        <f t="shared" si="2"/>
        <v>882.58601394915615</v>
      </c>
      <c r="BN7" s="6">
        <f>IFERROR(VLOOKUP(H7,index_logic!$A$4:$B$8,2,FALSE),0)</f>
        <v>30</v>
      </c>
      <c r="BO7" s="6">
        <f>IFERROR(VLOOKUP(AD7,index_logic!$D$4:$E$21,2,FALSE),0)</f>
        <v>18</v>
      </c>
      <c r="BP7" s="6">
        <f>IFERROR(VLOOKUP(AM7,index_logic!$G$4:$H$6,2,FALSE),0)</f>
        <v>10</v>
      </c>
      <c r="BQ7" s="6">
        <f>IFERROR(VLOOKUP(AH7,index_logic!$J$4:$K$6,2,FALSE),0)</f>
        <v>15</v>
      </c>
      <c r="BR7" s="6">
        <f>IFERROR(VLOOKUP(BE7,index_logic!$M$4:$N$7,2,FALSE),0)</f>
        <v>10</v>
      </c>
      <c r="BS7" s="6">
        <f>IFERROR(VLOOKUP(BL7,index_logic!$P$4:$Q$9,2,TRUE),0)</f>
        <v>5</v>
      </c>
      <c r="BT7" s="6">
        <f>IFERROR(VLOOKUP(BM7,index_logic!$S$4:$T$9,2,TRUE),0)</f>
        <v>4</v>
      </c>
      <c r="BU7" s="6">
        <f t="shared" si="3"/>
        <v>92</v>
      </c>
      <c r="BV7" t="str">
        <f t="shared" si="4"/>
        <v>Very High</v>
      </c>
    </row>
    <row r="8" spans="1:74" x14ac:dyDescent="0.2">
      <c r="A8" t="s">
        <v>197</v>
      </c>
      <c r="B8" t="s">
        <v>198</v>
      </c>
      <c r="C8">
        <v>2026</v>
      </c>
      <c r="D8" t="s">
        <v>142</v>
      </c>
      <c r="E8">
        <v>2018</v>
      </c>
      <c r="F8" t="s">
        <v>100</v>
      </c>
      <c r="G8" t="s">
        <v>4</v>
      </c>
      <c r="H8" t="s">
        <v>143</v>
      </c>
      <c r="I8" t="s">
        <v>199</v>
      </c>
      <c r="J8" t="s">
        <v>200</v>
      </c>
      <c r="K8" t="s">
        <v>201</v>
      </c>
      <c r="L8" t="s">
        <v>202</v>
      </c>
      <c r="M8" t="s">
        <v>146</v>
      </c>
      <c r="N8" t="s">
        <v>114</v>
      </c>
      <c r="O8" t="s">
        <v>114</v>
      </c>
      <c r="P8" t="s">
        <v>146</v>
      </c>
      <c r="Q8" t="s">
        <v>146</v>
      </c>
      <c r="R8" t="s">
        <v>114</v>
      </c>
      <c r="S8" t="s">
        <v>104</v>
      </c>
      <c r="T8" t="s">
        <v>104</v>
      </c>
      <c r="U8" t="s">
        <v>101</v>
      </c>
      <c r="V8">
        <v>0</v>
      </c>
      <c r="W8" t="s">
        <v>104</v>
      </c>
      <c r="X8" t="s">
        <v>171</v>
      </c>
      <c r="Y8" t="s">
        <v>203</v>
      </c>
      <c r="Z8" t="s">
        <v>204</v>
      </c>
      <c r="AA8" t="s">
        <v>205</v>
      </c>
      <c r="AB8" t="s">
        <v>151</v>
      </c>
      <c r="AC8" t="s">
        <v>107</v>
      </c>
      <c r="AD8" t="s">
        <v>206</v>
      </c>
      <c r="AE8" t="s">
        <v>207</v>
      </c>
      <c r="AF8" t="s">
        <v>174</v>
      </c>
      <c r="AG8" t="s">
        <v>107</v>
      </c>
      <c r="AH8" t="s">
        <v>131</v>
      </c>
      <c r="AI8" t="s">
        <v>131</v>
      </c>
      <c r="AJ8" t="s">
        <v>131</v>
      </c>
      <c r="AK8" t="s">
        <v>131</v>
      </c>
      <c r="AL8" t="s">
        <v>131</v>
      </c>
      <c r="AM8" t="s">
        <v>175</v>
      </c>
      <c r="AN8" t="s">
        <v>114</v>
      </c>
      <c r="AO8" t="s">
        <v>114</v>
      </c>
      <c r="AP8" t="s">
        <v>192</v>
      </c>
      <c r="AQ8" t="s">
        <v>176</v>
      </c>
      <c r="AR8" t="s">
        <v>118</v>
      </c>
      <c r="AS8" t="s">
        <v>119</v>
      </c>
      <c r="AT8" t="s">
        <v>120</v>
      </c>
      <c r="AU8" t="s">
        <v>121</v>
      </c>
      <c r="AV8">
        <v>2017</v>
      </c>
      <c r="AW8">
        <v>2018</v>
      </c>
      <c r="AX8">
        <v>0</v>
      </c>
      <c r="AY8" s="6">
        <f t="shared" si="0"/>
        <v>88</v>
      </c>
      <c r="AZ8">
        <v>7</v>
      </c>
      <c r="BA8">
        <v>4497</v>
      </c>
      <c r="BB8">
        <v>3675069</v>
      </c>
      <c r="BC8" t="s">
        <v>177</v>
      </c>
      <c r="BD8" t="s">
        <v>178</v>
      </c>
      <c r="BE8" t="s">
        <v>133</v>
      </c>
      <c r="BF8" t="s">
        <v>208</v>
      </c>
      <c r="BG8" s="1" t="s">
        <v>209</v>
      </c>
      <c r="BH8" s="1" t="s">
        <v>210</v>
      </c>
      <c r="BI8" t="s">
        <v>211</v>
      </c>
      <c r="BJ8" t="s">
        <v>619</v>
      </c>
      <c r="BK8" t="s">
        <v>128</v>
      </c>
      <c r="BL8" s="7">
        <f t="shared" si="1"/>
        <v>1.9047261425567792</v>
      </c>
      <c r="BM8" s="7">
        <f t="shared" si="2"/>
        <v>1223.6504947254052</v>
      </c>
      <c r="BN8" s="6">
        <f>IFERROR(VLOOKUP(H8,index_logic!$A$4:$B$8,2,FALSE),0)</f>
        <v>30</v>
      </c>
      <c r="BO8" s="6">
        <f>IFERROR(VLOOKUP(AD8,index_logic!$D$4:$E$21,2,FALSE),0)</f>
        <v>12</v>
      </c>
      <c r="BP8" s="6">
        <f>IFERROR(VLOOKUP(AM8,index_logic!$G$4:$H$6,2,FALSE),0)</f>
        <v>10</v>
      </c>
      <c r="BQ8" s="6">
        <f>IFERROR(VLOOKUP(AH8,index_logic!$J$4:$K$6,2,FALSE),0)</f>
        <v>15</v>
      </c>
      <c r="BR8" s="6">
        <f>IFERROR(VLOOKUP(BE8,index_logic!$M$4:$N$7,2,FALSE),0)</f>
        <v>10</v>
      </c>
      <c r="BS8" s="6">
        <f>IFERROR(VLOOKUP(BL8,index_logic!$P$4:$Q$9,2,TRUE),0)</f>
        <v>5</v>
      </c>
      <c r="BT8" s="6">
        <f>IFERROR(VLOOKUP(BM8,index_logic!$S$4:$T$9,2,TRUE),0)</f>
        <v>6</v>
      </c>
      <c r="BU8" s="6">
        <f t="shared" si="3"/>
        <v>88</v>
      </c>
      <c r="BV8" t="str">
        <f t="shared" si="4"/>
        <v>Very High</v>
      </c>
    </row>
    <row r="9" spans="1:74" x14ac:dyDescent="0.2">
      <c r="A9" t="s">
        <v>212</v>
      </c>
      <c r="B9" t="s">
        <v>213</v>
      </c>
      <c r="C9">
        <v>2026</v>
      </c>
      <c r="D9" t="s">
        <v>142</v>
      </c>
      <c r="E9">
        <v>2018</v>
      </c>
      <c r="F9" t="s">
        <v>100</v>
      </c>
      <c r="G9" t="s">
        <v>4</v>
      </c>
      <c r="H9" t="s">
        <v>143</v>
      </c>
      <c r="I9" t="s">
        <v>214</v>
      </c>
      <c r="J9" t="s">
        <v>186</v>
      </c>
      <c r="K9" t="s">
        <v>215</v>
      </c>
      <c r="L9" t="s">
        <v>216</v>
      </c>
      <c r="M9" t="s">
        <v>146</v>
      </c>
      <c r="N9" t="s">
        <v>114</v>
      </c>
      <c r="O9" t="s">
        <v>114</v>
      </c>
      <c r="P9" t="s">
        <v>146</v>
      </c>
      <c r="Q9" t="s">
        <v>167</v>
      </c>
      <c r="R9" t="s">
        <v>104</v>
      </c>
      <c r="S9" t="s">
        <v>104</v>
      </c>
      <c r="T9" t="s">
        <v>104</v>
      </c>
      <c r="U9" t="s">
        <v>101</v>
      </c>
      <c r="V9">
        <v>0</v>
      </c>
      <c r="W9" t="s">
        <v>104</v>
      </c>
      <c r="X9" t="s">
        <v>171</v>
      </c>
      <c r="Y9" t="s">
        <v>217</v>
      </c>
      <c r="Z9" t="s">
        <v>218</v>
      </c>
      <c r="AA9" t="s">
        <v>219</v>
      </c>
      <c r="AB9" t="s">
        <v>151</v>
      </c>
      <c r="AC9" t="s">
        <v>107</v>
      </c>
      <c r="AD9" t="s">
        <v>220</v>
      </c>
      <c r="AE9" t="s">
        <v>221</v>
      </c>
      <c r="AF9" t="s">
        <v>174</v>
      </c>
      <c r="AG9" t="s">
        <v>107</v>
      </c>
      <c r="AH9" t="s">
        <v>131</v>
      </c>
      <c r="AI9" t="s">
        <v>131</v>
      </c>
      <c r="AJ9" t="s">
        <v>131</v>
      </c>
      <c r="AK9" t="s">
        <v>131</v>
      </c>
      <c r="AL9" t="s">
        <v>131</v>
      </c>
      <c r="AM9" t="s">
        <v>175</v>
      </c>
      <c r="AN9" t="s">
        <v>114</v>
      </c>
      <c r="AO9" t="s">
        <v>114</v>
      </c>
      <c r="AP9" t="s">
        <v>222</v>
      </c>
      <c r="AQ9" t="s">
        <v>176</v>
      </c>
      <c r="AR9" t="s">
        <v>118</v>
      </c>
      <c r="AS9" t="s">
        <v>119</v>
      </c>
      <c r="AT9" t="s">
        <v>120</v>
      </c>
      <c r="AU9" t="s">
        <v>121</v>
      </c>
      <c r="AV9">
        <v>2018</v>
      </c>
      <c r="AW9">
        <v>2018</v>
      </c>
      <c r="AX9">
        <v>0</v>
      </c>
      <c r="AY9" s="6">
        <f t="shared" si="0"/>
        <v>92</v>
      </c>
      <c r="AZ9">
        <v>2</v>
      </c>
      <c r="BA9">
        <v>1076</v>
      </c>
      <c r="BB9">
        <v>1051917</v>
      </c>
      <c r="BC9" t="s">
        <v>122</v>
      </c>
      <c r="BD9" t="s">
        <v>178</v>
      </c>
      <c r="BE9" t="s">
        <v>133</v>
      </c>
      <c r="BF9" t="s">
        <v>223</v>
      </c>
      <c r="BG9" s="1" t="s">
        <v>224</v>
      </c>
      <c r="BH9" s="1" t="s">
        <v>225</v>
      </c>
      <c r="BI9" t="s">
        <v>226</v>
      </c>
      <c r="BJ9" t="s">
        <v>619</v>
      </c>
      <c r="BK9" t="s">
        <v>128</v>
      </c>
      <c r="BL9" s="7">
        <f t="shared" si="1"/>
        <v>1.9012906911857115</v>
      </c>
      <c r="BM9" s="7">
        <f t="shared" si="2"/>
        <v>1022.8943918579128</v>
      </c>
      <c r="BN9" s="6">
        <f>IFERROR(VLOOKUP(H9,index_logic!$A$4:$B$8,2,FALSE),0)</f>
        <v>30</v>
      </c>
      <c r="BO9" s="6">
        <f>IFERROR(VLOOKUP(AD9,index_logic!$D$4:$E$21,2,FALSE),0)</f>
        <v>18</v>
      </c>
      <c r="BP9" s="6">
        <f>IFERROR(VLOOKUP(AM9,index_logic!$G$4:$H$6,2,FALSE),0)</f>
        <v>10</v>
      </c>
      <c r="BQ9" s="6">
        <f>IFERROR(VLOOKUP(AH9,index_logic!$J$4:$K$6,2,FALSE),0)</f>
        <v>15</v>
      </c>
      <c r="BR9" s="6">
        <f>IFERROR(VLOOKUP(BE9,index_logic!$M$4:$N$7,2,FALSE),0)</f>
        <v>10</v>
      </c>
      <c r="BS9" s="6">
        <f>IFERROR(VLOOKUP(BL9,index_logic!$P$4:$Q$9,2,TRUE),0)</f>
        <v>5</v>
      </c>
      <c r="BT9" s="6">
        <f>IFERROR(VLOOKUP(BM9,index_logic!$S$4:$T$9,2,TRUE),0)</f>
        <v>4</v>
      </c>
      <c r="BU9" s="6">
        <f t="shared" si="3"/>
        <v>92</v>
      </c>
      <c r="BV9" t="str">
        <f t="shared" si="4"/>
        <v>Very High</v>
      </c>
    </row>
    <row r="10" spans="1:74" x14ac:dyDescent="0.2">
      <c r="A10" t="s">
        <v>227</v>
      </c>
      <c r="B10" t="s">
        <v>228</v>
      </c>
      <c r="C10">
        <v>2026</v>
      </c>
      <c r="D10" t="s">
        <v>142</v>
      </c>
      <c r="E10">
        <v>0</v>
      </c>
      <c r="F10" t="s">
        <v>100</v>
      </c>
      <c r="G10" t="s">
        <v>4</v>
      </c>
      <c r="H10" t="s">
        <v>229</v>
      </c>
      <c r="I10" t="s">
        <v>230</v>
      </c>
      <c r="J10" t="s">
        <v>231</v>
      </c>
      <c r="K10">
        <v>0</v>
      </c>
      <c r="L10">
        <v>0</v>
      </c>
      <c r="M10">
        <v>0</v>
      </c>
      <c r="N10">
        <v>0</v>
      </c>
      <c r="O10" t="s">
        <v>114</v>
      </c>
      <c r="P10">
        <v>0</v>
      </c>
      <c r="Q10">
        <v>0</v>
      </c>
      <c r="R10">
        <v>0</v>
      </c>
      <c r="S10" t="s">
        <v>104</v>
      </c>
      <c r="T10" t="s">
        <v>104</v>
      </c>
      <c r="U10" t="s">
        <v>101</v>
      </c>
      <c r="V10">
        <v>0</v>
      </c>
      <c r="W10" t="s">
        <v>232</v>
      </c>
      <c r="X10" t="s">
        <v>233</v>
      </c>
      <c r="Y10" t="s">
        <v>233</v>
      </c>
      <c r="Z10" t="s">
        <v>233</v>
      </c>
      <c r="AA10" t="s">
        <v>106</v>
      </c>
      <c r="AB10" t="s">
        <v>106</v>
      </c>
      <c r="AC10" t="s">
        <v>107</v>
      </c>
      <c r="AD10" t="s">
        <v>233</v>
      </c>
      <c r="AE10" t="s">
        <v>233</v>
      </c>
      <c r="AF10" t="s">
        <v>233</v>
      </c>
      <c r="AG10" t="s">
        <v>233</v>
      </c>
      <c r="AH10" t="s">
        <v>131</v>
      </c>
      <c r="AI10" t="s">
        <v>131</v>
      </c>
      <c r="AJ10" t="s">
        <v>131</v>
      </c>
      <c r="AK10" t="s">
        <v>131</v>
      </c>
      <c r="AL10" t="s">
        <v>131</v>
      </c>
      <c r="AM10" t="s">
        <v>113</v>
      </c>
      <c r="AN10" t="s">
        <v>234</v>
      </c>
      <c r="AO10" t="s">
        <v>137</v>
      </c>
      <c r="AP10" t="s">
        <v>116</v>
      </c>
      <c r="AQ10" t="s">
        <v>138</v>
      </c>
      <c r="AR10" t="s">
        <v>118</v>
      </c>
      <c r="AS10" t="s">
        <v>119</v>
      </c>
      <c r="AT10" t="s">
        <v>120</v>
      </c>
      <c r="AU10" t="s">
        <v>121</v>
      </c>
      <c r="AV10">
        <v>0</v>
      </c>
      <c r="AW10">
        <v>0</v>
      </c>
      <c r="AX10">
        <v>0</v>
      </c>
      <c r="AY10" s="6">
        <f t="shared" si="0"/>
        <v>34</v>
      </c>
      <c r="AZ10">
        <v>27</v>
      </c>
      <c r="BA10">
        <v>12743</v>
      </c>
      <c r="BB10">
        <v>23372215</v>
      </c>
      <c r="BC10" t="s">
        <v>122</v>
      </c>
      <c r="BD10" t="s">
        <v>123</v>
      </c>
      <c r="BE10" t="s">
        <v>139</v>
      </c>
      <c r="BF10" t="s">
        <v>235</v>
      </c>
      <c r="BG10" s="1" t="s">
        <v>236</v>
      </c>
      <c r="BH10" s="1" t="s">
        <v>134</v>
      </c>
      <c r="BI10" t="s">
        <v>237</v>
      </c>
      <c r="BJ10" t="s">
        <v>619</v>
      </c>
      <c r="BK10" t="s">
        <v>128</v>
      </c>
      <c r="BL10" s="7">
        <f t="shared" si="1"/>
        <v>1.1552178516242471</v>
      </c>
      <c r="BM10" s="7">
        <f t="shared" si="2"/>
        <v>545.22004012028822</v>
      </c>
      <c r="BN10" s="6">
        <f>IFERROR(VLOOKUP(H10,index_logic!$A$4:$B$8,2,FALSE),0)</f>
        <v>4</v>
      </c>
      <c r="BO10" s="6">
        <f>IFERROR(VLOOKUP(AD10,index_logic!$D$4:$E$21,2,FALSE),0)</f>
        <v>3</v>
      </c>
      <c r="BP10" s="6">
        <f>IFERROR(VLOOKUP(AM10,index_logic!$G$4:$H$6,2,FALSE),0)</f>
        <v>3</v>
      </c>
      <c r="BQ10" s="6">
        <f>IFERROR(VLOOKUP(AH10,index_logic!$J$4:$K$6,2,FALSE),0)</f>
        <v>15</v>
      </c>
      <c r="BR10" s="6">
        <f>IFERROR(VLOOKUP(BE10,index_logic!$M$4:$N$7,2,FALSE),0)</f>
        <v>3</v>
      </c>
      <c r="BS10" s="6">
        <f>IFERROR(VLOOKUP(BL10,index_logic!$P$4:$Q$9,2,TRUE),0)</f>
        <v>4</v>
      </c>
      <c r="BT10" s="6">
        <f>IFERROR(VLOOKUP(BM10,index_logic!$S$4:$T$9,2,TRUE),0)</f>
        <v>2</v>
      </c>
      <c r="BU10" s="6">
        <f t="shared" si="3"/>
        <v>34</v>
      </c>
      <c r="BV10" t="str">
        <f t="shared" si="4"/>
        <v>Very Low</v>
      </c>
    </row>
    <row r="11" spans="1:74" x14ac:dyDescent="0.2">
      <c r="A11" t="s">
        <v>238</v>
      </c>
      <c r="B11" t="s">
        <v>239</v>
      </c>
      <c r="C11">
        <v>2026</v>
      </c>
      <c r="D11" t="s">
        <v>99</v>
      </c>
      <c r="E11">
        <v>0</v>
      </c>
      <c r="F11" t="s">
        <v>100</v>
      </c>
      <c r="G11" t="s">
        <v>4</v>
      </c>
      <c r="H11" t="s">
        <v>101</v>
      </c>
      <c r="I11" t="s">
        <v>102</v>
      </c>
      <c r="J11" t="s">
        <v>103</v>
      </c>
      <c r="K11">
        <v>0</v>
      </c>
      <c r="L11">
        <v>0</v>
      </c>
      <c r="M11">
        <v>0</v>
      </c>
      <c r="N11">
        <v>0</v>
      </c>
      <c r="O11" t="s">
        <v>104</v>
      </c>
      <c r="P11">
        <v>0</v>
      </c>
      <c r="Q11">
        <v>0</v>
      </c>
      <c r="R11">
        <v>0</v>
      </c>
      <c r="U11" t="s">
        <v>101</v>
      </c>
      <c r="V11">
        <v>0</v>
      </c>
      <c r="X11" t="s">
        <v>105</v>
      </c>
      <c r="Y11" t="s">
        <v>105</v>
      </c>
      <c r="Z11" t="s">
        <v>105</v>
      </c>
      <c r="AA11" t="s">
        <v>106</v>
      </c>
      <c r="AB11" t="s">
        <v>106</v>
      </c>
      <c r="AC11" t="s">
        <v>107</v>
      </c>
      <c r="AD11" t="s">
        <v>105</v>
      </c>
      <c r="AE11" t="s">
        <v>105</v>
      </c>
      <c r="AF11" t="s">
        <v>105</v>
      </c>
      <c r="AG11" t="s">
        <v>105</v>
      </c>
      <c r="AH11" t="s">
        <v>131</v>
      </c>
      <c r="AI11" t="s">
        <v>131</v>
      </c>
      <c r="AJ11" t="s">
        <v>131</v>
      </c>
      <c r="AK11" t="s">
        <v>131</v>
      </c>
      <c r="AL11" t="s">
        <v>131</v>
      </c>
      <c r="AM11" t="s">
        <v>113</v>
      </c>
      <c r="AN11" t="s">
        <v>116</v>
      </c>
      <c r="AO11" t="s">
        <v>115</v>
      </c>
      <c r="AP11" t="s">
        <v>116</v>
      </c>
      <c r="AQ11" t="s">
        <v>117</v>
      </c>
      <c r="AR11" t="s">
        <v>118</v>
      </c>
      <c r="AS11" t="s">
        <v>119</v>
      </c>
      <c r="AT11" t="s">
        <v>120</v>
      </c>
      <c r="AU11" t="s">
        <v>121</v>
      </c>
      <c r="AV11">
        <v>0</v>
      </c>
      <c r="AW11">
        <v>0</v>
      </c>
      <c r="AX11">
        <v>0</v>
      </c>
      <c r="AY11" s="6">
        <f t="shared" si="0"/>
        <v>31</v>
      </c>
      <c r="AZ11">
        <v>17</v>
      </c>
      <c r="BA11">
        <v>7664</v>
      </c>
      <c r="BB11">
        <v>11180878</v>
      </c>
      <c r="BC11" t="s">
        <v>177</v>
      </c>
      <c r="BD11" t="s">
        <v>123</v>
      </c>
      <c r="BE11" t="s">
        <v>139</v>
      </c>
      <c r="BF11" t="s">
        <v>125</v>
      </c>
      <c r="BG11" s="1" t="s">
        <v>16</v>
      </c>
      <c r="BH11" s="1" t="s">
        <v>134</v>
      </c>
      <c r="BI11" t="s">
        <v>127</v>
      </c>
      <c r="BJ11" t="s">
        <v>619</v>
      </c>
      <c r="BK11" t="s">
        <v>128</v>
      </c>
      <c r="BL11" s="7">
        <f t="shared" si="1"/>
        <v>1.5204530449218747</v>
      </c>
      <c r="BM11" s="7">
        <f t="shared" si="2"/>
        <v>685.45600801654405</v>
      </c>
      <c r="BN11" s="6">
        <f>IFERROR(VLOOKUP(H11,index_logic!$A$4:$B$8,2,FALSE),0)</f>
        <v>0</v>
      </c>
      <c r="BO11" s="6">
        <f>IFERROR(VLOOKUP(AD11,index_logic!$D$4:$E$21,2,FALSE),0)</f>
        <v>3</v>
      </c>
      <c r="BP11" s="6">
        <f>IFERROR(VLOOKUP(AM11,index_logic!$G$4:$H$6,2,FALSE),0)</f>
        <v>3</v>
      </c>
      <c r="BQ11" s="6">
        <f>IFERROR(VLOOKUP(AH11,index_logic!$J$4:$K$6,2,FALSE),0)</f>
        <v>15</v>
      </c>
      <c r="BR11" s="6">
        <f>IFERROR(VLOOKUP(BE11,index_logic!$M$4:$N$7,2,FALSE),0)</f>
        <v>3</v>
      </c>
      <c r="BS11" s="6">
        <f>IFERROR(VLOOKUP(BL11,index_logic!$P$4:$Q$9,2,TRUE),0)</f>
        <v>5</v>
      </c>
      <c r="BT11" s="6">
        <f>IFERROR(VLOOKUP(BM11,index_logic!$S$4:$T$9,2,TRUE),0)</f>
        <v>2</v>
      </c>
      <c r="BU11" s="6">
        <f t="shared" si="3"/>
        <v>31</v>
      </c>
      <c r="BV11" t="str">
        <f t="shared" si="4"/>
        <v>Very Low</v>
      </c>
    </row>
    <row r="12" spans="1:74" x14ac:dyDescent="0.2">
      <c r="A12" t="s">
        <v>240</v>
      </c>
      <c r="B12" t="s">
        <v>241</v>
      </c>
      <c r="C12">
        <v>2026</v>
      </c>
      <c r="D12" t="s">
        <v>142</v>
      </c>
      <c r="E12">
        <v>1989</v>
      </c>
      <c r="F12" t="s">
        <v>100</v>
      </c>
      <c r="G12" t="s">
        <v>4</v>
      </c>
      <c r="H12" t="s">
        <v>143</v>
      </c>
      <c r="I12" t="s">
        <v>242</v>
      </c>
      <c r="J12" t="s">
        <v>243</v>
      </c>
      <c r="K12" t="s">
        <v>244</v>
      </c>
      <c r="L12" t="s">
        <v>245</v>
      </c>
      <c r="M12" t="s">
        <v>146</v>
      </c>
      <c r="N12" t="s">
        <v>146</v>
      </c>
      <c r="O12" t="s">
        <v>104</v>
      </c>
      <c r="P12" t="s">
        <v>246</v>
      </c>
      <c r="Q12" t="s">
        <v>146</v>
      </c>
      <c r="R12" t="s">
        <v>104</v>
      </c>
      <c r="S12" t="s">
        <v>104</v>
      </c>
      <c r="T12" t="s">
        <v>104</v>
      </c>
      <c r="U12" t="s">
        <v>101</v>
      </c>
      <c r="V12">
        <v>0</v>
      </c>
      <c r="W12" t="s">
        <v>104</v>
      </c>
      <c r="X12" t="s">
        <v>148</v>
      </c>
      <c r="Y12" t="s">
        <v>247</v>
      </c>
      <c r="Z12" t="s">
        <v>248</v>
      </c>
      <c r="AA12" t="s">
        <v>151</v>
      </c>
      <c r="AB12" t="s">
        <v>151</v>
      </c>
      <c r="AC12" t="s">
        <v>107</v>
      </c>
      <c r="AD12" t="s">
        <v>249</v>
      </c>
      <c r="AE12" t="s">
        <v>250</v>
      </c>
      <c r="AF12" t="s">
        <v>251</v>
      </c>
      <c r="AG12" t="s">
        <v>155</v>
      </c>
      <c r="AH12" t="s">
        <v>131</v>
      </c>
      <c r="AI12" t="s">
        <v>131</v>
      </c>
      <c r="AJ12" t="s">
        <v>131</v>
      </c>
      <c r="AK12" t="s">
        <v>131</v>
      </c>
      <c r="AL12" t="s">
        <v>131</v>
      </c>
      <c r="AM12" t="s">
        <v>113</v>
      </c>
      <c r="AN12" t="s">
        <v>116</v>
      </c>
      <c r="AO12" t="s">
        <v>115</v>
      </c>
      <c r="AP12" t="s">
        <v>116</v>
      </c>
      <c r="AQ12" t="s">
        <v>117</v>
      </c>
      <c r="AR12" t="s">
        <v>118</v>
      </c>
      <c r="AS12" t="s">
        <v>119</v>
      </c>
      <c r="AT12" t="s">
        <v>120</v>
      </c>
      <c r="AU12" t="s">
        <v>121</v>
      </c>
      <c r="AV12">
        <v>1989</v>
      </c>
      <c r="AW12">
        <v>2024</v>
      </c>
      <c r="AX12">
        <v>0</v>
      </c>
      <c r="AY12" s="6">
        <f t="shared" si="0"/>
        <v>65</v>
      </c>
      <c r="AZ12">
        <v>3</v>
      </c>
      <c r="BA12">
        <v>992</v>
      </c>
      <c r="BB12">
        <v>1446146</v>
      </c>
      <c r="BC12" t="s">
        <v>122</v>
      </c>
      <c r="BD12" t="s">
        <v>178</v>
      </c>
      <c r="BE12" t="s">
        <v>133</v>
      </c>
      <c r="BF12" t="s">
        <v>252</v>
      </c>
      <c r="BG12" s="1" t="s">
        <v>253</v>
      </c>
      <c r="BH12" s="1" t="s">
        <v>254</v>
      </c>
      <c r="BI12" t="s">
        <v>255</v>
      </c>
      <c r="BJ12" t="s">
        <v>619</v>
      </c>
      <c r="BK12" t="s">
        <v>128</v>
      </c>
      <c r="BL12" s="7">
        <f t="shared" si="1"/>
        <v>2.0744793402602504</v>
      </c>
      <c r="BM12" s="7">
        <f t="shared" si="2"/>
        <v>685.96116851272279</v>
      </c>
      <c r="BN12" s="6">
        <f>IFERROR(VLOOKUP(H12,index_logic!$A$4:$B$8,2,FALSE),0)</f>
        <v>30</v>
      </c>
      <c r="BO12" s="6">
        <f>IFERROR(VLOOKUP(AD12,index_logic!$D$4:$E$21,2,FALSE),0)</f>
        <v>0</v>
      </c>
      <c r="BP12" s="6">
        <f>IFERROR(VLOOKUP(AM12,index_logic!$G$4:$H$6,2,FALSE),0)</f>
        <v>3</v>
      </c>
      <c r="BQ12" s="6">
        <f>IFERROR(VLOOKUP(AH12,index_logic!$J$4:$K$6,2,FALSE),0)</f>
        <v>15</v>
      </c>
      <c r="BR12" s="6">
        <f>IFERROR(VLOOKUP(BE12,index_logic!$M$4:$N$7,2,FALSE),0)</f>
        <v>10</v>
      </c>
      <c r="BS12" s="6">
        <f>IFERROR(VLOOKUP(BL12,index_logic!$P$4:$Q$9,2,TRUE),0)</f>
        <v>5</v>
      </c>
      <c r="BT12" s="6">
        <f>IFERROR(VLOOKUP(BM12,index_logic!$S$4:$T$9,2,TRUE),0)</f>
        <v>2</v>
      </c>
      <c r="BU12" s="6">
        <f t="shared" si="3"/>
        <v>65</v>
      </c>
      <c r="BV12" t="str">
        <f t="shared" si="4"/>
        <v>High</v>
      </c>
    </row>
    <row r="13" spans="1:74" x14ac:dyDescent="0.2">
      <c r="A13" t="s">
        <v>256</v>
      </c>
      <c r="B13" t="s">
        <v>257</v>
      </c>
      <c r="C13">
        <v>2026</v>
      </c>
      <c r="D13" t="s">
        <v>99</v>
      </c>
      <c r="E13">
        <v>0</v>
      </c>
      <c r="F13" t="s">
        <v>100</v>
      </c>
      <c r="G13" t="s">
        <v>4</v>
      </c>
      <c r="H13" t="s">
        <v>101</v>
      </c>
      <c r="I13" t="s">
        <v>102</v>
      </c>
      <c r="J13" t="s">
        <v>103</v>
      </c>
      <c r="K13">
        <v>0</v>
      </c>
      <c r="L13">
        <v>0</v>
      </c>
      <c r="M13">
        <v>0</v>
      </c>
      <c r="N13">
        <v>0</v>
      </c>
      <c r="O13" t="s">
        <v>104</v>
      </c>
      <c r="P13">
        <v>0</v>
      </c>
      <c r="Q13">
        <v>0</v>
      </c>
      <c r="R13">
        <v>0</v>
      </c>
      <c r="U13" t="s">
        <v>101</v>
      </c>
      <c r="V13">
        <v>0</v>
      </c>
      <c r="X13" t="s">
        <v>105</v>
      </c>
      <c r="Y13" t="s">
        <v>105</v>
      </c>
      <c r="Z13" t="s">
        <v>105</v>
      </c>
      <c r="AA13" t="s">
        <v>106</v>
      </c>
      <c r="AB13" t="s">
        <v>106</v>
      </c>
      <c r="AC13" t="s">
        <v>107</v>
      </c>
      <c r="AD13" t="s">
        <v>105</v>
      </c>
      <c r="AE13" t="s">
        <v>105</v>
      </c>
      <c r="AF13" t="s">
        <v>105</v>
      </c>
      <c r="AG13" t="s">
        <v>105</v>
      </c>
      <c r="AH13" t="s">
        <v>131</v>
      </c>
      <c r="AI13" t="s">
        <v>131</v>
      </c>
      <c r="AJ13" t="s">
        <v>131</v>
      </c>
      <c r="AK13" t="s">
        <v>131</v>
      </c>
      <c r="AL13" t="s">
        <v>131</v>
      </c>
      <c r="AM13" t="s">
        <v>258</v>
      </c>
      <c r="AN13" t="s">
        <v>116</v>
      </c>
      <c r="AO13" t="s">
        <v>114</v>
      </c>
      <c r="AP13" t="s">
        <v>116</v>
      </c>
      <c r="AQ13" t="s">
        <v>176</v>
      </c>
      <c r="AR13" t="s">
        <v>118</v>
      </c>
      <c r="AS13" t="s">
        <v>119</v>
      </c>
      <c r="AT13" t="s">
        <v>120</v>
      </c>
      <c r="AU13" t="s">
        <v>121</v>
      </c>
      <c r="AV13">
        <v>0</v>
      </c>
      <c r="AW13">
        <v>0</v>
      </c>
      <c r="AX13">
        <v>0</v>
      </c>
      <c r="AY13" s="6">
        <f t="shared" si="0"/>
        <v>31</v>
      </c>
      <c r="AZ13">
        <v>2</v>
      </c>
      <c r="BA13">
        <v>1067</v>
      </c>
      <c r="BB13">
        <v>2001619</v>
      </c>
      <c r="BC13" t="s">
        <v>177</v>
      </c>
      <c r="BD13" t="s">
        <v>123</v>
      </c>
      <c r="BE13" t="s">
        <v>124</v>
      </c>
      <c r="BF13" t="s">
        <v>125</v>
      </c>
      <c r="BG13" s="1" t="s">
        <v>16</v>
      </c>
      <c r="BH13" s="1" t="s">
        <v>134</v>
      </c>
      <c r="BI13" t="s">
        <v>127</v>
      </c>
      <c r="BJ13" t="s">
        <v>619</v>
      </c>
      <c r="BK13" t="s">
        <v>128</v>
      </c>
      <c r="BL13" s="7">
        <f t="shared" si="1"/>
        <v>0.99919115476022158</v>
      </c>
      <c r="BM13" s="7">
        <f t="shared" si="2"/>
        <v>533.06848106457824</v>
      </c>
      <c r="BN13" s="6">
        <f>IFERROR(VLOOKUP(H13,index_logic!$A$4:$B$8,2,FALSE),0)</f>
        <v>0</v>
      </c>
      <c r="BO13" s="6">
        <f>IFERROR(VLOOKUP(AD13,index_logic!$D$4:$E$21,2,FALSE),0)</f>
        <v>3</v>
      </c>
      <c r="BP13" s="6">
        <f>IFERROR(VLOOKUP(AM13,index_logic!$G$4:$H$6,2,FALSE),0)</f>
        <v>7</v>
      </c>
      <c r="BQ13" s="6">
        <f>IFERROR(VLOOKUP(AH13,index_logic!$J$4:$K$6,2,FALSE),0)</f>
        <v>15</v>
      </c>
      <c r="BR13" s="6">
        <f>IFERROR(VLOOKUP(BE13,index_logic!$M$4:$N$7,2,FALSE),0)</f>
        <v>0</v>
      </c>
      <c r="BS13" s="6">
        <f>IFERROR(VLOOKUP(BL13,index_logic!$P$4:$Q$9,2,TRUE),0)</f>
        <v>4</v>
      </c>
      <c r="BT13" s="6">
        <f>IFERROR(VLOOKUP(BM13,index_logic!$S$4:$T$9,2,TRUE),0)</f>
        <v>2</v>
      </c>
      <c r="BU13" s="6">
        <f t="shared" si="3"/>
        <v>31</v>
      </c>
      <c r="BV13" t="str">
        <f t="shared" si="4"/>
        <v>Very Low</v>
      </c>
    </row>
    <row r="14" spans="1:74" x14ac:dyDescent="0.2">
      <c r="A14" t="s">
        <v>259</v>
      </c>
      <c r="B14" t="s">
        <v>260</v>
      </c>
      <c r="C14">
        <v>2026</v>
      </c>
      <c r="D14" t="s">
        <v>142</v>
      </c>
      <c r="E14">
        <v>2026</v>
      </c>
      <c r="F14" t="s">
        <v>100</v>
      </c>
      <c r="G14" t="s">
        <v>4</v>
      </c>
      <c r="H14" t="s">
        <v>143</v>
      </c>
      <c r="I14" t="s">
        <v>261</v>
      </c>
      <c r="J14" t="s">
        <v>200</v>
      </c>
      <c r="K14" t="s">
        <v>262</v>
      </c>
      <c r="L14" t="s">
        <v>263</v>
      </c>
      <c r="M14" t="s">
        <v>146</v>
      </c>
      <c r="N14" t="s">
        <v>114</v>
      </c>
      <c r="O14" t="s">
        <v>114</v>
      </c>
      <c r="P14" t="s">
        <v>146</v>
      </c>
      <c r="Q14" t="s">
        <v>146</v>
      </c>
      <c r="R14" t="s">
        <v>264</v>
      </c>
      <c r="S14" t="s">
        <v>104</v>
      </c>
      <c r="T14" t="s">
        <v>265</v>
      </c>
      <c r="U14" t="s">
        <v>101</v>
      </c>
      <c r="V14">
        <v>0</v>
      </c>
      <c r="W14" t="s">
        <v>104</v>
      </c>
      <c r="X14" t="s">
        <v>107</v>
      </c>
      <c r="Y14" t="s">
        <v>266</v>
      </c>
      <c r="Z14" t="s">
        <v>267</v>
      </c>
      <c r="AA14" t="s">
        <v>151</v>
      </c>
      <c r="AB14" t="s">
        <v>151</v>
      </c>
      <c r="AC14" t="s">
        <v>107</v>
      </c>
      <c r="AD14" t="s">
        <v>268</v>
      </c>
      <c r="AE14" t="s">
        <v>268</v>
      </c>
      <c r="AF14" t="s">
        <v>268</v>
      </c>
      <c r="AG14" t="s">
        <v>107</v>
      </c>
      <c r="AH14" t="s">
        <v>131</v>
      </c>
      <c r="AI14" t="s">
        <v>131</v>
      </c>
      <c r="AJ14" t="s">
        <v>131</v>
      </c>
      <c r="AK14" t="s">
        <v>131</v>
      </c>
      <c r="AL14" t="s">
        <v>131</v>
      </c>
      <c r="AM14" t="s">
        <v>258</v>
      </c>
      <c r="AN14" t="s">
        <v>114</v>
      </c>
      <c r="AO14" t="s">
        <v>114</v>
      </c>
      <c r="AP14" t="s">
        <v>222</v>
      </c>
      <c r="AQ14" t="s">
        <v>176</v>
      </c>
      <c r="AR14" t="s">
        <v>118</v>
      </c>
      <c r="AS14" t="s">
        <v>119</v>
      </c>
      <c r="AT14" t="s">
        <v>120</v>
      </c>
      <c r="AU14" t="s">
        <v>121</v>
      </c>
      <c r="AV14">
        <v>2022</v>
      </c>
      <c r="AW14">
        <v>2026</v>
      </c>
      <c r="AX14">
        <v>0</v>
      </c>
      <c r="AY14" s="6">
        <f t="shared" si="0"/>
        <v>80</v>
      </c>
      <c r="AZ14">
        <v>15</v>
      </c>
      <c r="BA14">
        <v>15552</v>
      </c>
      <c r="BB14">
        <v>12710158</v>
      </c>
      <c r="BC14" t="s">
        <v>177</v>
      </c>
      <c r="BD14" t="s">
        <v>178</v>
      </c>
      <c r="BE14" t="s">
        <v>133</v>
      </c>
      <c r="BF14" t="s">
        <v>269</v>
      </c>
      <c r="BG14" s="1" t="s">
        <v>270</v>
      </c>
      <c r="BH14" s="1" t="s">
        <v>134</v>
      </c>
      <c r="BI14" t="s">
        <v>271</v>
      </c>
      <c r="BJ14" t="s">
        <v>619</v>
      </c>
      <c r="BK14" t="s">
        <v>128</v>
      </c>
      <c r="BL14" s="7">
        <f t="shared" si="1"/>
        <v>1.1801584213193888</v>
      </c>
      <c r="BM14" s="7">
        <f t="shared" si="2"/>
        <v>1223.5882512239423</v>
      </c>
      <c r="BN14" s="6">
        <f>IFERROR(VLOOKUP(H14,index_logic!$A$4:$B$8,2,FALSE),0)</f>
        <v>30</v>
      </c>
      <c r="BO14" s="6">
        <f>IFERROR(VLOOKUP(AD14,index_logic!$D$4:$E$21,2,FALSE),0)</f>
        <v>8</v>
      </c>
      <c r="BP14" s="6">
        <f>IFERROR(VLOOKUP(AM14,index_logic!$G$4:$H$6,2,FALSE),0)</f>
        <v>7</v>
      </c>
      <c r="BQ14" s="6">
        <f>IFERROR(VLOOKUP(AH14,index_logic!$J$4:$K$6,2,FALSE),0)</f>
        <v>15</v>
      </c>
      <c r="BR14" s="6">
        <f>IFERROR(VLOOKUP(BE14,index_logic!$M$4:$N$7,2,FALSE),0)</f>
        <v>10</v>
      </c>
      <c r="BS14" s="6">
        <f>IFERROR(VLOOKUP(BL14,index_logic!$P$4:$Q$9,2,TRUE),0)</f>
        <v>4</v>
      </c>
      <c r="BT14" s="6">
        <f>IFERROR(VLOOKUP(BM14,index_logic!$S$4:$T$9,2,TRUE),0)</f>
        <v>6</v>
      </c>
      <c r="BU14" s="6">
        <f t="shared" si="3"/>
        <v>80</v>
      </c>
      <c r="BV14" t="str">
        <f t="shared" si="4"/>
        <v>Very High</v>
      </c>
    </row>
    <row r="15" spans="1:74" x14ac:dyDescent="0.2">
      <c r="A15" t="s">
        <v>272</v>
      </c>
      <c r="B15" t="s">
        <v>273</v>
      </c>
      <c r="C15">
        <v>2026</v>
      </c>
      <c r="D15" t="s">
        <v>99</v>
      </c>
      <c r="E15">
        <v>0</v>
      </c>
      <c r="F15" t="s">
        <v>100</v>
      </c>
      <c r="G15" t="s">
        <v>4</v>
      </c>
      <c r="H15" t="s">
        <v>101</v>
      </c>
      <c r="I15" t="s">
        <v>102</v>
      </c>
      <c r="J15" t="s">
        <v>103</v>
      </c>
      <c r="K15">
        <v>0</v>
      </c>
      <c r="L15">
        <v>0</v>
      </c>
      <c r="M15">
        <v>0</v>
      </c>
      <c r="N15">
        <v>0</v>
      </c>
      <c r="O15" t="s">
        <v>104</v>
      </c>
      <c r="P15">
        <v>0</v>
      </c>
      <c r="Q15">
        <v>0</v>
      </c>
      <c r="R15">
        <v>0</v>
      </c>
      <c r="U15" t="s">
        <v>101</v>
      </c>
      <c r="V15">
        <v>0</v>
      </c>
      <c r="X15" t="s">
        <v>105</v>
      </c>
      <c r="Y15" t="s">
        <v>105</v>
      </c>
      <c r="Z15" t="s">
        <v>105</v>
      </c>
      <c r="AA15" t="s">
        <v>106</v>
      </c>
      <c r="AB15" t="s">
        <v>106</v>
      </c>
      <c r="AC15" t="s">
        <v>107</v>
      </c>
      <c r="AD15" t="s">
        <v>105</v>
      </c>
      <c r="AE15" t="s">
        <v>105</v>
      </c>
      <c r="AF15" t="s">
        <v>105</v>
      </c>
      <c r="AG15" t="s">
        <v>105</v>
      </c>
      <c r="AH15" t="s">
        <v>131</v>
      </c>
      <c r="AI15" t="s">
        <v>131</v>
      </c>
      <c r="AJ15" t="s">
        <v>131</v>
      </c>
      <c r="AK15" t="s">
        <v>131</v>
      </c>
      <c r="AL15" t="s">
        <v>131</v>
      </c>
      <c r="AM15" t="s">
        <v>113</v>
      </c>
      <c r="AN15" t="s">
        <v>116</v>
      </c>
      <c r="AO15" t="s">
        <v>115</v>
      </c>
      <c r="AP15" t="s">
        <v>116</v>
      </c>
      <c r="AQ15" t="s">
        <v>117</v>
      </c>
      <c r="AR15" t="s">
        <v>118</v>
      </c>
      <c r="AS15" t="s">
        <v>119</v>
      </c>
      <c r="AT15" t="s">
        <v>120</v>
      </c>
      <c r="AU15" t="s">
        <v>121</v>
      </c>
      <c r="AV15">
        <v>0</v>
      </c>
      <c r="AW15">
        <v>0</v>
      </c>
      <c r="AX15">
        <v>0</v>
      </c>
      <c r="AY15" s="6">
        <f t="shared" si="0"/>
        <v>27</v>
      </c>
      <c r="AZ15">
        <v>7</v>
      </c>
      <c r="BA15">
        <v>4145</v>
      </c>
      <c r="BB15">
        <v>6924275</v>
      </c>
      <c r="BC15" t="s">
        <v>122</v>
      </c>
      <c r="BD15" t="s">
        <v>123</v>
      </c>
      <c r="BE15" t="s">
        <v>124</v>
      </c>
      <c r="BF15" t="s">
        <v>125</v>
      </c>
      <c r="BG15" s="1" t="s">
        <v>16</v>
      </c>
      <c r="BH15" s="1" t="s">
        <v>134</v>
      </c>
      <c r="BI15" t="s">
        <v>127</v>
      </c>
      <c r="BJ15" t="s">
        <v>619</v>
      </c>
      <c r="BK15" t="s">
        <v>128</v>
      </c>
      <c r="BL15" s="7">
        <f t="shared" si="1"/>
        <v>1.0109361629917935</v>
      </c>
      <c r="BM15" s="7">
        <f t="shared" si="2"/>
        <v>598.61862794299759</v>
      </c>
      <c r="BN15" s="6">
        <f>IFERROR(VLOOKUP(H15,index_logic!$A$4:$B$8,2,FALSE),0)</f>
        <v>0</v>
      </c>
      <c r="BO15" s="6">
        <f>IFERROR(VLOOKUP(AD15,index_logic!$D$4:$E$21,2,FALSE),0)</f>
        <v>3</v>
      </c>
      <c r="BP15" s="6">
        <f>IFERROR(VLOOKUP(AM15,index_logic!$G$4:$H$6,2,FALSE),0)</f>
        <v>3</v>
      </c>
      <c r="BQ15" s="6">
        <f>IFERROR(VLOOKUP(AH15,index_logic!$J$4:$K$6,2,FALSE),0)</f>
        <v>15</v>
      </c>
      <c r="BR15" s="6">
        <f>IFERROR(VLOOKUP(BE15,index_logic!$M$4:$N$7,2,FALSE),0)</f>
        <v>0</v>
      </c>
      <c r="BS15" s="6">
        <f>IFERROR(VLOOKUP(BL15,index_logic!$P$4:$Q$9,2,TRUE),0)</f>
        <v>4</v>
      </c>
      <c r="BT15" s="6">
        <f>IFERROR(VLOOKUP(BM15,index_logic!$S$4:$T$9,2,TRUE),0)</f>
        <v>2</v>
      </c>
      <c r="BU15" s="6">
        <f t="shared" si="3"/>
        <v>27</v>
      </c>
      <c r="BV15" t="str">
        <f t="shared" si="4"/>
        <v>Very Low</v>
      </c>
    </row>
    <row r="16" spans="1:74" x14ac:dyDescent="0.2">
      <c r="A16" t="s">
        <v>274</v>
      </c>
      <c r="B16" t="s">
        <v>275</v>
      </c>
      <c r="C16">
        <v>2026</v>
      </c>
      <c r="D16" t="s">
        <v>99</v>
      </c>
      <c r="E16">
        <v>0</v>
      </c>
      <c r="F16" t="s">
        <v>100</v>
      </c>
      <c r="G16" t="s">
        <v>4</v>
      </c>
      <c r="H16" t="s">
        <v>101</v>
      </c>
      <c r="I16" t="s">
        <v>102</v>
      </c>
      <c r="J16" t="s">
        <v>103</v>
      </c>
      <c r="K16">
        <v>0</v>
      </c>
      <c r="L16">
        <v>0</v>
      </c>
      <c r="M16">
        <v>0</v>
      </c>
      <c r="N16">
        <v>0</v>
      </c>
      <c r="O16" t="s">
        <v>104</v>
      </c>
      <c r="P16">
        <v>0</v>
      </c>
      <c r="Q16">
        <v>0</v>
      </c>
      <c r="R16">
        <v>0</v>
      </c>
      <c r="U16" t="s">
        <v>101</v>
      </c>
      <c r="V16">
        <v>0</v>
      </c>
      <c r="X16" t="s">
        <v>105</v>
      </c>
      <c r="Y16" t="s">
        <v>105</v>
      </c>
      <c r="Z16" t="s">
        <v>105</v>
      </c>
      <c r="AA16" t="s">
        <v>106</v>
      </c>
      <c r="AB16" t="s">
        <v>106</v>
      </c>
      <c r="AC16" t="s">
        <v>107</v>
      </c>
      <c r="AD16" t="s">
        <v>105</v>
      </c>
      <c r="AE16" t="s">
        <v>105</v>
      </c>
      <c r="AF16" t="s">
        <v>105</v>
      </c>
      <c r="AG16" t="s">
        <v>105</v>
      </c>
      <c r="AH16" t="s">
        <v>131</v>
      </c>
      <c r="AI16" t="s">
        <v>131</v>
      </c>
      <c r="AJ16" t="s">
        <v>131</v>
      </c>
      <c r="AK16" t="s">
        <v>131</v>
      </c>
      <c r="AL16" t="s">
        <v>131</v>
      </c>
      <c r="AM16" t="s">
        <v>113</v>
      </c>
      <c r="AN16" t="s">
        <v>114</v>
      </c>
      <c r="AO16" t="s">
        <v>137</v>
      </c>
      <c r="AP16" t="s">
        <v>222</v>
      </c>
      <c r="AQ16" t="s">
        <v>138</v>
      </c>
      <c r="AR16" t="s">
        <v>118</v>
      </c>
      <c r="AS16" t="s">
        <v>119</v>
      </c>
      <c r="AT16" t="s">
        <v>120</v>
      </c>
      <c r="AU16" t="s">
        <v>121</v>
      </c>
      <c r="AV16">
        <v>0</v>
      </c>
      <c r="AW16">
        <v>0</v>
      </c>
      <c r="AX16">
        <v>0</v>
      </c>
      <c r="AY16" s="6">
        <f t="shared" si="0"/>
        <v>31</v>
      </c>
      <c r="AZ16">
        <v>4</v>
      </c>
      <c r="BA16">
        <v>2267</v>
      </c>
      <c r="BB16">
        <v>3241488</v>
      </c>
      <c r="BC16" t="s">
        <v>122</v>
      </c>
      <c r="BD16" t="s">
        <v>123</v>
      </c>
      <c r="BE16" t="s">
        <v>139</v>
      </c>
      <c r="BF16" t="s">
        <v>125</v>
      </c>
      <c r="BG16" s="1" t="s">
        <v>16</v>
      </c>
      <c r="BH16" s="1" t="s">
        <v>134</v>
      </c>
      <c r="BI16" t="s">
        <v>127</v>
      </c>
      <c r="BJ16" t="s">
        <v>619</v>
      </c>
      <c r="BK16" t="s">
        <v>128</v>
      </c>
      <c r="BL16" s="7">
        <f t="shared" si="1"/>
        <v>1.2340011747691184</v>
      </c>
      <c r="BM16" s="7">
        <f t="shared" si="2"/>
        <v>699.3701658003979</v>
      </c>
      <c r="BN16" s="6">
        <f>IFERROR(VLOOKUP(H16,index_logic!$A$4:$B$8,2,FALSE),0)</f>
        <v>0</v>
      </c>
      <c r="BO16" s="6">
        <f>IFERROR(VLOOKUP(AD16,index_logic!$D$4:$E$21,2,FALSE),0)</f>
        <v>3</v>
      </c>
      <c r="BP16" s="6">
        <f>IFERROR(VLOOKUP(AM16,index_logic!$G$4:$H$6,2,FALSE),0)</f>
        <v>3</v>
      </c>
      <c r="BQ16" s="6">
        <f>IFERROR(VLOOKUP(AH16,index_logic!$J$4:$K$6,2,FALSE),0)</f>
        <v>15</v>
      </c>
      <c r="BR16" s="6">
        <f>IFERROR(VLOOKUP(BE16,index_logic!$M$4:$N$7,2,FALSE),0)</f>
        <v>3</v>
      </c>
      <c r="BS16" s="6">
        <f>IFERROR(VLOOKUP(BL16,index_logic!$P$4:$Q$9,2,TRUE),0)</f>
        <v>5</v>
      </c>
      <c r="BT16" s="6">
        <f>IFERROR(VLOOKUP(BM16,index_logic!$S$4:$T$9,2,TRUE),0)</f>
        <v>2</v>
      </c>
      <c r="BU16" s="6">
        <f t="shared" si="3"/>
        <v>31</v>
      </c>
      <c r="BV16" t="str">
        <f t="shared" si="4"/>
        <v>Very Low</v>
      </c>
    </row>
    <row r="17" spans="1:74" x14ac:dyDescent="0.2">
      <c r="A17" t="s">
        <v>276</v>
      </c>
      <c r="B17" t="s">
        <v>277</v>
      </c>
      <c r="C17">
        <v>2026</v>
      </c>
      <c r="D17" t="s">
        <v>99</v>
      </c>
      <c r="E17">
        <v>0</v>
      </c>
      <c r="F17" t="s">
        <v>100</v>
      </c>
      <c r="G17" t="s">
        <v>4</v>
      </c>
      <c r="H17" t="s">
        <v>101</v>
      </c>
      <c r="I17" t="s">
        <v>102</v>
      </c>
      <c r="J17" t="s">
        <v>103</v>
      </c>
      <c r="K17">
        <v>0</v>
      </c>
      <c r="L17">
        <v>0</v>
      </c>
      <c r="M17">
        <v>0</v>
      </c>
      <c r="N17">
        <v>0</v>
      </c>
      <c r="O17" t="s">
        <v>104</v>
      </c>
      <c r="P17">
        <v>0</v>
      </c>
      <c r="Q17">
        <v>0</v>
      </c>
      <c r="R17">
        <v>0</v>
      </c>
      <c r="U17" t="s">
        <v>101</v>
      </c>
      <c r="V17">
        <v>0</v>
      </c>
      <c r="X17" t="s">
        <v>105</v>
      </c>
      <c r="Y17" t="s">
        <v>105</v>
      </c>
      <c r="Z17" t="s">
        <v>105</v>
      </c>
      <c r="AA17" t="s">
        <v>106</v>
      </c>
      <c r="AB17" t="s">
        <v>106</v>
      </c>
      <c r="AC17" t="s">
        <v>107</v>
      </c>
      <c r="AD17" t="s">
        <v>105</v>
      </c>
      <c r="AE17" t="s">
        <v>105</v>
      </c>
      <c r="AF17" t="s">
        <v>105</v>
      </c>
      <c r="AG17" t="s">
        <v>105</v>
      </c>
      <c r="AH17" t="s">
        <v>131</v>
      </c>
      <c r="AI17" t="s">
        <v>131</v>
      </c>
      <c r="AJ17" t="s">
        <v>131</v>
      </c>
      <c r="AK17" t="s">
        <v>131</v>
      </c>
      <c r="AL17" t="s">
        <v>131</v>
      </c>
      <c r="AM17" t="s">
        <v>113</v>
      </c>
      <c r="AN17" t="s">
        <v>116</v>
      </c>
      <c r="AO17" t="s">
        <v>137</v>
      </c>
      <c r="AP17" t="s">
        <v>192</v>
      </c>
      <c r="AQ17" t="s">
        <v>138</v>
      </c>
      <c r="AR17" t="s">
        <v>118</v>
      </c>
      <c r="AS17" t="s">
        <v>119</v>
      </c>
      <c r="AT17" t="s">
        <v>120</v>
      </c>
      <c r="AU17" t="s">
        <v>121</v>
      </c>
      <c r="AV17">
        <v>0</v>
      </c>
      <c r="AW17">
        <v>0</v>
      </c>
      <c r="AX17">
        <v>0</v>
      </c>
      <c r="AY17" s="6">
        <f t="shared" si="0"/>
        <v>34</v>
      </c>
      <c r="AZ17">
        <v>3</v>
      </c>
      <c r="BA17">
        <v>1885</v>
      </c>
      <c r="BB17">
        <v>2970606</v>
      </c>
      <c r="BC17" t="s">
        <v>122</v>
      </c>
      <c r="BD17" t="s">
        <v>132</v>
      </c>
      <c r="BE17" t="s">
        <v>278</v>
      </c>
      <c r="BF17" t="s">
        <v>125</v>
      </c>
      <c r="BG17" s="1" t="s">
        <v>16</v>
      </c>
      <c r="BH17" s="1" t="s">
        <v>134</v>
      </c>
      <c r="BI17" t="s">
        <v>127</v>
      </c>
      <c r="BJ17" t="s">
        <v>619</v>
      </c>
      <c r="BK17" t="s">
        <v>128</v>
      </c>
      <c r="BL17" s="7">
        <f t="shared" si="1"/>
        <v>1.0098949507272255</v>
      </c>
      <c r="BM17" s="7">
        <f t="shared" si="2"/>
        <v>634.55066070693988</v>
      </c>
      <c r="BN17" s="6">
        <f>IFERROR(VLOOKUP(H17,index_logic!$A$4:$B$8,2,FALSE),0)</f>
        <v>0</v>
      </c>
      <c r="BO17" s="6">
        <f>IFERROR(VLOOKUP(AD17,index_logic!$D$4:$E$21,2,FALSE),0)</f>
        <v>3</v>
      </c>
      <c r="BP17" s="6">
        <f>IFERROR(VLOOKUP(AM17,index_logic!$G$4:$H$6,2,FALSE),0)</f>
        <v>3</v>
      </c>
      <c r="BQ17" s="6">
        <f>IFERROR(VLOOKUP(AH17,index_logic!$J$4:$K$6,2,FALSE),0)</f>
        <v>15</v>
      </c>
      <c r="BR17" s="6">
        <f>IFERROR(VLOOKUP(BE17,index_logic!$M$4:$N$7,2,FALSE),0)</f>
        <v>7</v>
      </c>
      <c r="BS17" s="6">
        <f>IFERROR(VLOOKUP(BL17,index_logic!$P$4:$Q$9,2,TRUE),0)</f>
        <v>4</v>
      </c>
      <c r="BT17" s="6">
        <f>IFERROR(VLOOKUP(BM17,index_logic!$S$4:$T$9,2,TRUE),0)</f>
        <v>2</v>
      </c>
      <c r="BU17" s="6">
        <f t="shared" si="3"/>
        <v>34</v>
      </c>
      <c r="BV17" t="str">
        <f t="shared" si="4"/>
        <v>Very Low</v>
      </c>
    </row>
    <row r="18" spans="1:74" x14ac:dyDescent="0.2">
      <c r="A18" t="s">
        <v>279</v>
      </c>
      <c r="B18" t="s">
        <v>280</v>
      </c>
      <c r="C18">
        <v>2026</v>
      </c>
      <c r="D18" t="s">
        <v>142</v>
      </c>
      <c r="E18">
        <v>0</v>
      </c>
      <c r="F18" t="s">
        <v>100</v>
      </c>
      <c r="G18" t="s">
        <v>4</v>
      </c>
      <c r="H18" t="s">
        <v>229</v>
      </c>
      <c r="I18" t="s">
        <v>230</v>
      </c>
      <c r="J18" t="s">
        <v>231</v>
      </c>
      <c r="K18">
        <v>0</v>
      </c>
      <c r="L18">
        <v>0</v>
      </c>
      <c r="M18">
        <v>0</v>
      </c>
      <c r="N18">
        <v>0</v>
      </c>
      <c r="O18" t="s">
        <v>114</v>
      </c>
      <c r="P18">
        <v>0</v>
      </c>
      <c r="Q18">
        <v>0</v>
      </c>
      <c r="R18">
        <v>0</v>
      </c>
      <c r="S18" t="s">
        <v>104</v>
      </c>
      <c r="T18" t="s">
        <v>231</v>
      </c>
      <c r="U18" t="s">
        <v>101</v>
      </c>
      <c r="V18">
        <v>0</v>
      </c>
      <c r="W18" t="s">
        <v>104</v>
      </c>
      <c r="X18" t="s">
        <v>233</v>
      </c>
      <c r="Y18" t="s">
        <v>233</v>
      </c>
      <c r="Z18" t="s">
        <v>233</v>
      </c>
      <c r="AA18" t="s">
        <v>106</v>
      </c>
      <c r="AB18" t="s">
        <v>106</v>
      </c>
      <c r="AC18" t="s">
        <v>107</v>
      </c>
      <c r="AD18" t="s">
        <v>233</v>
      </c>
      <c r="AE18" t="s">
        <v>233</v>
      </c>
      <c r="AF18" t="s">
        <v>233</v>
      </c>
      <c r="AG18" t="s">
        <v>233</v>
      </c>
      <c r="AH18" t="s">
        <v>131</v>
      </c>
      <c r="AI18" t="s">
        <v>131</v>
      </c>
      <c r="AJ18" t="s">
        <v>131</v>
      </c>
      <c r="AK18" t="s">
        <v>131</v>
      </c>
      <c r="AL18" t="s">
        <v>131</v>
      </c>
      <c r="AM18" t="s">
        <v>113</v>
      </c>
      <c r="AN18" t="s">
        <v>281</v>
      </c>
      <c r="AO18" t="s">
        <v>115</v>
      </c>
      <c r="AP18" t="s">
        <v>116</v>
      </c>
      <c r="AQ18" t="s">
        <v>117</v>
      </c>
      <c r="AR18" t="s">
        <v>118</v>
      </c>
      <c r="AS18" t="s">
        <v>119</v>
      </c>
      <c r="AT18" t="s">
        <v>120</v>
      </c>
      <c r="AU18" t="s">
        <v>121</v>
      </c>
      <c r="AV18">
        <v>0</v>
      </c>
      <c r="AW18">
        <v>0</v>
      </c>
      <c r="AX18">
        <v>0</v>
      </c>
      <c r="AY18" s="6">
        <f t="shared" si="0"/>
        <v>30</v>
      </c>
      <c r="AZ18">
        <v>3</v>
      </c>
      <c r="BA18">
        <v>2100</v>
      </c>
      <c r="BB18">
        <v>4588372</v>
      </c>
      <c r="BC18" t="s">
        <v>177</v>
      </c>
      <c r="BD18" t="s">
        <v>132</v>
      </c>
      <c r="BE18" t="s">
        <v>124</v>
      </c>
      <c r="BF18" t="s">
        <v>282</v>
      </c>
      <c r="BG18" s="1" t="s">
        <v>283</v>
      </c>
      <c r="BH18" s="1" t="s">
        <v>134</v>
      </c>
      <c r="BI18" t="s">
        <v>284</v>
      </c>
      <c r="BJ18" t="s">
        <v>619</v>
      </c>
      <c r="BK18" t="s">
        <v>128</v>
      </c>
      <c r="BL18" s="7">
        <f t="shared" si="1"/>
        <v>0.65382667316425092</v>
      </c>
      <c r="BM18" s="7">
        <f t="shared" si="2"/>
        <v>457.67867121497557</v>
      </c>
      <c r="BN18" s="6">
        <f>IFERROR(VLOOKUP(H18,index_logic!$A$4:$B$8,2,FALSE),0)</f>
        <v>4</v>
      </c>
      <c r="BO18" s="6">
        <f>IFERROR(VLOOKUP(AD18,index_logic!$D$4:$E$21,2,FALSE),0)</f>
        <v>3</v>
      </c>
      <c r="BP18" s="6">
        <f>IFERROR(VLOOKUP(AM18,index_logic!$G$4:$H$6,2,FALSE),0)</f>
        <v>3</v>
      </c>
      <c r="BQ18" s="6">
        <f>IFERROR(VLOOKUP(AH18,index_logic!$J$4:$K$6,2,FALSE),0)</f>
        <v>15</v>
      </c>
      <c r="BR18" s="6">
        <f>IFERROR(VLOOKUP(BE18,index_logic!$M$4:$N$7,2,FALSE),0)</f>
        <v>0</v>
      </c>
      <c r="BS18" s="6">
        <f>IFERROR(VLOOKUP(BL18,index_logic!$P$4:$Q$9,2,TRUE),0)</f>
        <v>3</v>
      </c>
      <c r="BT18" s="6">
        <f>IFERROR(VLOOKUP(BM18,index_logic!$S$4:$T$9,2,TRUE),0)</f>
        <v>2</v>
      </c>
      <c r="BU18" s="6">
        <f t="shared" si="3"/>
        <v>30</v>
      </c>
      <c r="BV18" t="str">
        <f t="shared" si="4"/>
        <v>Very Low</v>
      </c>
    </row>
    <row r="19" spans="1:74" x14ac:dyDescent="0.2">
      <c r="A19" t="s">
        <v>285</v>
      </c>
      <c r="B19" t="s">
        <v>286</v>
      </c>
      <c r="C19">
        <v>2026</v>
      </c>
      <c r="D19" t="s">
        <v>142</v>
      </c>
      <c r="E19">
        <v>0</v>
      </c>
      <c r="F19" t="s">
        <v>100</v>
      </c>
      <c r="G19" t="s">
        <v>4</v>
      </c>
      <c r="H19" t="s">
        <v>229</v>
      </c>
      <c r="I19" t="s">
        <v>230</v>
      </c>
      <c r="J19" t="s">
        <v>231</v>
      </c>
      <c r="K19">
        <v>0</v>
      </c>
      <c r="L19">
        <v>0</v>
      </c>
      <c r="M19">
        <v>0</v>
      </c>
      <c r="N19">
        <v>0</v>
      </c>
      <c r="O19" t="s">
        <v>114</v>
      </c>
      <c r="P19">
        <v>0</v>
      </c>
      <c r="Q19">
        <v>0</v>
      </c>
      <c r="R19">
        <v>0</v>
      </c>
      <c r="S19" t="s">
        <v>104</v>
      </c>
      <c r="T19" t="s">
        <v>231</v>
      </c>
      <c r="U19" t="s">
        <v>101</v>
      </c>
      <c r="V19">
        <v>0</v>
      </c>
      <c r="W19" t="s">
        <v>104</v>
      </c>
      <c r="X19" t="s">
        <v>233</v>
      </c>
      <c r="Y19" t="s">
        <v>233</v>
      </c>
      <c r="Z19" t="s">
        <v>233</v>
      </c>
      <c r="AA19" t="s">
        <v>106</v>
      </c>
      <c r="AB19" t="s">
        <v>106</v>
      </c>
      <c r="AC19" t="s">
        <v>107</v>
      </c>
      <c r="AD19" t="s">
        <v>233</v>
      </c>
      <c r="AE19" t="s">
        <v>233</v>
      </c>
      <c r="AF19" t="s">
        <v>233</v>
      </c>
      <c r="AG19" t="s">
        <v>233</v>
      </c>
      <c r="AH19" t="s">
        <v>287</v>
      </c>
      <c r="AI19" t="s">
        <v>288</v>
      </c>
      <c r="AJ19" t="s">
        <v>289</v>
      </c>
      <c r="AK19" t="s">
        <v>290</v>
      </c>
      <c r="AL19" t="s">
        <v>291</v>
      </c>
      <c r="AM19" t="s">
        <v>113</v>
      </c>
      <c r="AN19" t="s">
        <v>281</v>
      </c>
      <c r="AO19" t="s">
        <v>137</v>
      </c>
      <c r="AP19" t="s">
        <v>114</v>
      </c>
      <c r="AQ19" t="s">
        <v>138</v>
      </c>
      <c r="AR19" t="s">
        <v>118</v>
      </c>
      <c r="AS19" t="s">
        <v>119</v>
      </c>
      <c r="AT19" t="s">
        <v>120</v>
      </c>
      <c r="AU19" t="s">
        <v>121</v>
      </c>
      <c r="AV19">
        <v>0</v>
      </c>
      <c r="AW19">
        <v>0</v>
      </c>
      <c r="AX19">
        <v>0</v>
      </c>
      <c r="AY19" s="6">
        <f t="shared" si="0"/>
        <v>19</v>
      </c>
      <c r="AZ19">
        <v>4</v>
      </c>
      <c r="BA19">
        <v>2224</v>
      </c>
      <c r="BB19">
        <v>4597740</v>
      </c>
      <c r="BC19" t="s">
        <v>122</v>
      </c>
      <c r="BD19" t="s">
        <v>123</v>
      </c>
      <c r="BE19" t="s">
        <v>124</v>
      </c>
      <c r="BF19" t="s">
        <v>292</v>
      </c>
      <c r="BG19" s="1" t="s">
        <v>293</v>
      </c>
      <c r="BH19" s="1" t="s">
        <v>294</v>
      </c>
      <c r="BI19" t="s">
        <v>295</v>
      </c>
      <c r="BJ19" t="s">
        <v>619</v>
      </c>
      <c r="BK19" t="s">
        <v>128</v>
      </c>
      <c r="BL19" s="7">
        <f t="shared" si="1"/>
        <v>0.86999264856211966</v>
      </c>
      <c r="BM19" s="7">
        <f t="shared" si="2"/>
        <v>483.7159126005385</v>
      </c>
      <c r="BN19" s="6">
        <f>IFERROR(VLOOKUP(H19,index_logic!$A$4:$B$8,2,FALSE),0)</f>
        <v>4</v>
      </c>
      <c r="BO19" s="6">
        <f>IFERROR(VLOOKUP(AD19,index_logic!$D$4:$E$21,2,FALSE),0)</f>
        <v>3</v>
      </c>
      <c r="BP19" s="6">
        <f>IFERROR(VLOOKUP(AM19,index_logic!$G$4:$H$6,2,FALSE),0)</f>
        <v>3</v>
      </c>
      <c r="BQ19" s="6">
        <f>IFERROR(VLOOKUP(AH19,index_logic!$J$4:$K$6,2,FALSE),0)</f>
        <v>3</v>
      </c>
      <c r="BR19" s="6">
        <f>IFERROR(VLOOKUP(BE19,index_logic!$M$4:$N$7,2,FALSE),0)</f>
        <v>0</v>
      </c>
      <c r="BS19" s="6">
        <f>IFERROR(VLOOKUP(BL19,index_logic!$P$4:$Q$9,2,TRUE),0)</f>
        <v>4</v>
      </c>
      <c r="BT19" s="6">
        <f>IFERROR(VLOOKUP(BM19,index_logic!$S$4:$T$9,2,TRUE),0)</f>
        <v>2</v>
      </c>
      <c r="BU19" s="6">
        <f t="shared" si="3"/>
        <v>19</v>
      </c>
      <c r="BV19" t="str">
        <f t="shared" si="4"/>
        <v>Very Low</v>
      </c>
    </row>
    <row r="20" spans="1:74" x14ac:dyDescent="0.2">
      <c r="A20" t="s">
        <v>296</v>
      </c>
      <c r="B20" t="s">
        <v>297</v>
      </c>
      <c r="C20">
        <v>2026</v>
      </c>
      <c r="D20" t="s">
        <v>142</v>
      </c>
      <c r="E20">
        <v>2023</v>
      </c>
      <c r="F20" t="s">
        <v>100</v>
      </c>
      <c r="G20" t="s">
        <v>4</v>
      </c>
      <c r="H20" t="s">
        <v>143</v>
      </c>
      <c r="I20" t="s">
        <v>298</v>
      </c>
      <c r="J20" t="s">
        <v>299</v>
      </c>
      <c r="K20" t="s">
        <v>146</v>
      </c>
      <c r="L20" t="s">
        <v>146</v>
      </c>
      <c r="M20" t="s">
        <v>146</v>
      </c>
      <c r="N20" t="s">
        <v>114</v>
      </c>
      <c r="O20" t="s">
        <v>114</v>
      </c>
      <c r="P20" t="s">
        <v>300</v>
      </c>
      <c r="Q20" t="s">
        <v>146</v>
      </c>
      <c r="R20" t="s">
        <v>104</v>
      </c>
      <c r="S20" t="s">
        <v>104</v>
      </c>
      <c r="T20" t="s">
        <v>104</v>
      </c>
      <c r="U20" t="s">
        <v>101</v>
      </c>
      <c r="V20">
        <v>0</v>
      </c>
      <c r="W20" t="s">
        <v>104</v>
      </c>
      <c r="X20" t="s">
        <v>171</v>
      </c>
      <c r="Y20" t="s">
        <v>301</v>
      </c>
      <c r="Z20" t="s">
        <v>302</v>
      </c>
      <c r="AA20" t="s">
        <v>151</v>
      </c>
      <c r="AB20" t="s">
        <v>151</v>
      </c>
      <c r="AC20" t="s">
        <v>107</v>
      </c>
      <c r="AD20" t="s">
        <v>303</v>
      </c>
      <c r="AE20" t="s">
        <v>303</v>
      </c>
      <c r="AF20" t="s">
        <v>174</v>
      </c>
      <c r="AG20" t="s">
        <v>304</v>
      </c>
      <c r="AH20" t="s">
        <v>131</v>
      </c>
      <c r="AI20" t="s">
        <v>131</v>
      </c>
      <c r="AJ20" t="s">
        <v>131</v>
      </c>
      <c r="AK20" t="s">
        <v>131</v>
      </c>
      <c r="AL20" t="s">
        <v>131</v>
      </c>
      <c r="AM20" t="s">
        <v>175</v>
      </c>
      <c r="AN20" t="s">
        <v>114</v>
      </c>
      <c r="AO20" t="s">
        <v>114</v>
      </c>
      <c r="AP20" t="s">
        <v>116</v>
      </c>
      <c r="AQ20" t="s">
        <v>176</v>
      </c>
      <c r="AR20" t="s">
        <v>118</v>
      </c>
      <c r="AS20" t="s">
        <v>119</v>
      </c>
      <c r="AT20" t="s">
        <v>120</v>
      </c>
      <c r="AU20" t="s">
        <v>121</v>
      </c>
      <c r="AV20">
        <v>2021</v>
      </c>
      <c r="AW20">
        <v>2023</v>
      </c>
      <c r="AX20">
        <v>0</v>
      </c>
      <c r="AY20" s="6">
        <f t="shared" si="0"/>
        <v>92</v>
      </c>
      <c r="AZ20">
        <v>2</v>
      </c>
      <c r="BA20">
        <v>730</v>
      </c>
      <c r="BB20">
        <v>1405012</v>
      </c>
      <c r="BC20" t="s">
        <v>177</v>
      </c>
      <c r="BD20" t="s">
        <v>178</v>
      </c>
      <c r="BE20" t="s">
        <v>133</v>
      </c>
      <c r="BF20" t="s">
        <v>305</v>
      </c>
      <c r="BG20" s="1" t="s">
        <v>306</v>
      </c>
      <c r="BH20" s="1" t="s">
        <v>307</v>
      </c>
      <c r="BI20" t="s">
        <v>308</v>
      </c>
      <c r="BJ20" t="s">
        <v>619</v>
      </c>
      <c r="BK20" t="s">
        <v>128</v>
      </c>
      <c r="BL20" s="7">
        <f t="shared" si="1"/>
        <v>1.4234753866870888</v>
      </c>
      <c r="BM20" s="7">
        <f t="shared" si="2"/>
        <v>519.56851614078744</v>
      </c>
      <c r="BN20" s="6">
        <f>IFERROR(VLOOKUP(H20,index_logic!$A$4:$B$8,2,FALSE),0)</f>
        <v>30</v>
      </c>
      <c r="BO20" s="6">
        <f>IFERROR(VLOOKUP(AD20,index_logic!$D$4:$E$21,2,FALSE),0)</f>
        <v>20</v>
      </c>
      <c r="BP20" s="6">
        <f>IFERROR(VLOOKUP(AM20,index_logic!$G$4:$H$6,2,FALSE),0)</f>
        <v>10</v>
      </c>
      <c r="BQ20" s="6">
        <f>IFERROR(VLOOKUP(AH20,index_logic!$J$4:$K$6,2,FALSE),0)</f>
        <v>15</v>
      </c>
      <c r="BR20" s="6">
        <f>IFERROR(VLOOKUP(BE20,index_logic!$M$4:$N$7,2,FALSE),0)</f>
        <v>10</v>
      </c>
      <c r="BS20" s="6">
        <f>IFERROR(VLOOKUP(BL20,index_logic!$P$4:$Q$9,2,TRUE),0)</f>
        <v>5</v>
      </c>
      <c r="BT20" s="6">
        <f>IFERROR(VLOOKUP(BM20,index_logic!$S$4:$T$9,2,TRUE),0)</f>
        <v>2</v>
      </c>
      <c r="BU20" s="6">
        <f t="shared" si="3"/>
        <v>92</v>
      </c>
      <c r="BV20" t="str">
        <f t="shared" si="4"/>
        <v>Very High</v>
      </c>
    </row>
    <row r="21" spans="1:74" x14ac:dyDescent="0.2">
      <c r="A21" t="s">
        <v>309</v>
      </c>
      <c r="B21" t="s">
        <v>310</v>
      </c>
      <c r="C21">
        <v>2026</v>
      </c>
      <c r="D21" t="s">
        <v>142</v>
      </c>
      <c r="E21">
        <v>1985</v>
      </c>
      <c r="F21" t="s">
        <v>100</v>
      </c>
      <c r="G21" t="s">
        <v>4</v>
      </c>
      <c r="H21" t="s">
        <v>143</v>
      </c>
      <c r="I21" t="s">
        <v>311</v>
      </c>
      <c r="J21" t="s">
        <v>145</v>
      </c>
      <c r="K21" t="s">
        <v>312</v>
      </c>
      <c r="L21" t="s">
        <v>313</v>
      </c>
      <c r="M21">
        <v>100000</v>
      </c>
      <c r="N21" t="s">
        <v>146</v>
      </c>
      <c r="O21" t="s">
        <v>114</v>
      </c>
      <c r="P21" t="s">
        <v>146</v>
      </c>
      <c r="Q21" t="s">
        <v>146</v>
      </c>
      <c r="R21" t="s">
        <v>114</v>
      </c>
      <c r="S21" t="s">
        <v>315</v>
      </c>
      <c r="T21" t="s">
        <v>104</v>
      </c>
      <c r="U21" t="s">
        <v>101</v>
      </c>
      <c r="V21">
        <v>0</v>
      </c>
      <c r="W21" t="s">
        <v>104</v>
      </c>
      <c r="X21" t="s">
        <v>316</v>
      </c>
      <c r="Y21" t="s">
        <v>317</v>
      </c>
      <c r="Z21" t="s">
        <v>318</v>
      </c>
      <c r="AA21" t="s">
        <v>151</v>
      </c>
      <c r="AB21" t="s">
        <v>151</v>
      </c>
      <c r="AC21" t="s">
        <v>107</v>
      </c>
      <c r="AD21" t="s">
        <v>319</v>
      </c>
      <c r="AE21" t="s">
        <v>320</v>
      </c>
      <c r="AF21" t="s">
        <v>321</v>
      </c>
      <c r="AG21" t="s">
        <v>107</v>
      </c>
      <c r="AH21" t="s">
        <v>131</v>
      </c>
      <c r="AI21" t="s">
        <v>131</v>
      </c>
      <c r="AJ21" t="s">
        <v>131</v>
      </c>
      <c r="AK21" t="s">
        <v>131</v>
      </c>
      <c r="AL21" t="s">
        <v>131</v>
      </c>
      <c r="AM21" t="s">
        <v>113</v>
      </c>
      <c r="AN21" t="s">
        <v>116</v>
      </c>
      <c r="AO21" t="s">
        <v>115</v>
      </c>
      <c r="AP21" t="s">
        <v>116</v>
      </c>
      <c r="AQ21" t="s">
        <v>117</v>
      </c>
      <c r="AR21" t="s">
        <v>118</v>
      </c>
      <c r="AS21" t="s">
        <v>119</v>
      </c>
      <c r="AT21" t="s">
        <v>120</v>
      </c>
      <c r="AU21" t="s">
        <v>121</v>
      </c>
      <c r="AV21">
        <v>1985</v>
      </c>
      <c r="AW21">
        <v>2019</v>
      </c>
      <c r="AX21">
        <v>0</v>
      </c>
      <c r="AY21" s="6">
        <f t="shared" si="0"/>
        <v>79</v>
      </c>
      <c r="AZ21">
        <v>9</v>
      </c>
      <c r="BA21">
        <v>6153</v>
      </c>
      <c r="BB21">
        <v>6263220</v>
      </c>
      <c r="BC21" t="s">
        <v>177</v>
      </c>
      <c r="BD21" t="s">
        <v>178</v>
      </c>
      <c r="BE21" t="s">
        <v>133</v>
      </c>
      <c r="BF21" t="s">
        <v>322</v>
      </c>
      <c r="BG21" s="1" t="s">
        <v>323</v>
      </c>
      <c r="BH21" s="1" t="s">
        <v>324</v>
      </c>
      <c r="BI21" t="s">
        <v>325</v>
      </c>
      <c r="BJ21" t="s">
        <v>619</v>
      </c>
      <c r="BK21" t="s">
        <v>128</v>
      </c>
      <c r="BL21" s="7">
        <f t="shared" si="1"/>
        <v>1.4369605410635424</v>
      </c>
      <c r="BM21" s="7">
        <f t="shared" si="2"/>
        <v>982.40202324044174</v>
      </c>
      <c r="BN21" s="6">
        <f>IFERROR(VLOOKUP(H21,index_logic!$A$4:$B$8,2,FALSE),0)</f>
        <v>30</v>
      </c>
      <c r="BO21" s="6">
        <f>IFERROR(VLOOKUP(AD21,index_logic!$D$4:$E$21,2,FALSE),0)</f>
        <v>12</v>
      </c>
      <c r="BP21" s="6">
        <f>IFERROR(VLOOKUP(AM21,index_logic!$G$4:$H$6,2,FALSE),0)</f>
        <v>3</v>
      </c>
      <c r="BQ21" s="6">
        <f>IFERROR(VLOOKUP(AH21,index_logic!$J$4:$K$6,2,FALSE),0)</f>
        <v>15</v>
      </c>
      <c r="BR21" s="6">
        <f>IFERROR(VLOOKUP(BE21,index_logic!$M$4:$N$7,2,FALSE),0)</f>
        <v>10</v>
      </c>
      <c r="BS21" s="6">
        <f>IFERROR(VLOOKUP(BL21,index_logic!$P$4:$Q$9,2,TRUE),0)</f>
        <v>5</v>
      </c>
      <c r="BT21" s="6">
        <f>IFERROR(VLOOKUP(BM21,index_logic!$S$4:$T$9,2,TRUE),0)</f>
        <v>4</v>
      </c>
      <c r="BU21" s="6">
        <f t="shared" si="3"/>
        <v>79</v>
      </c>
      <c r="BV21" t="str">
        <f t="shared" si="4"/>
        <v>High</v>
      </c>
    </row>
    <row r="22" spans="1:74" x14ac:dyDescent="0.2">
      <c r="A22" t="s">
        <v>326</v>
      </c>
      <c r="B22" t="s">
        <v>327</v>
      </c>
      <c r="C22">
        <v>2026</v>
      </c>
      <c r="D22" t="s">
        <v>142</v>
      </c>
      <c r="E22">
        <v>1987</v>
      </c>
      <c r="F22" t="s">
        <v>100</v>
      </c>
      <c r="G22" t="s">
        <v>4</v>
      </c>
      <c r="H22" t="s">
        <v>143</v>
      </c>
      <c r="I22" t="s">
        <v>328</v>
      </c>
      <c r="J22" t="s">
        <v>186</v>
      </c>
      <c r="K22" t="s">
        <v>171</v>
      </c>
      <c r="L22" t="s">
        <v>329</v>
      </c>
      <c r="M22" t="s">
        <v>171</v>
      </c>
      <c r="N22" t="s">
        <v>146</v>
      </c>
      <c r="O22" t="s">
        <v>114</v>
      </c>
      <c r="P22" t="s">
        <v>146</v>
      </c>
      <c r="Q22" t="s">
        <v>146</v>
      </c>
      <c r="R22" t="s">
        <v>104</v>
      </c>
      <c r="S22" t="s">
        <v>104</v>
      </c>
      <c r="T22" t="s">
        <v>104</v>
      </c>
      <c r="U22" t="s">
        <v>101</v>
      </c>
      <c r="V22">
        <v>0</v>
      </c>
      <c r="W22" t="s">
        <v>104</v>
      </c>
      <c r="X22" t="s">
        <v>171</v>
      </c>
      <c r="Y22" t="s">
        <v>330</v>
      </c>
      <c r="Z22" t="s">
        <v>331</v>
      </c>
      <c r="AA22" t="s">
        <v>107</v>
      </c>
      <c r="AB22" t="s">
        <v>107</v>
      </c>
      <c r="AC22" t="s">
        <v>107</v>
      </c>
      <c r="AD22" t="s">
        <v>332</v>
      </c>
      <c r="AE22" t="s">
        <v>332</v>
      </c>
      <c r="AF22" t="s">
        <v>174</v>
      </c>
      <c r="AG22" t="s">
        <v>107</v>
      </c>
      <c r="AH22" t="s">
        <v>131</v>
      </c>
      <c r="AI22" t="s">
        <v>131</v>
      </c>
      <c r="AJ22" t="s">
        <v>131</v>
      </c>
      <c r="AK22" t="s">
        <v>131</v>
      </c>
      <c r="AL22" t="s">
        <v>131</v>
      </c>
      <c r="AM22" t="s">
        <v>258</v>
      </c>
      <c r="AN22" t="s">
        <v>116</v>
      </c>
      <c r="AO22" t="s">
        <v>114</v>
      </c>
      <c r="AP22" t="s">
        <v>116</v>
      </c>
      <c r="AQ22" t="s">
        <v>176</v>
      </c>
      <c r="AR22" t="s">
        <v>118</v>
      </c>
      <c r="AS22" t="s">
        <v>119</v>
      </c>
      <c r="AT22" t="s">
        <v>120</v>
      </c>
      <c r="AU22" t="s">
        <v>121</v>
      </c>
      <c r="AV22">
        <v>1987</v>
      </c>
      <c r="AW22">
        <v>2024</v>
      </c>
      <c r="AX22">
        <v>0</v>
      </c>
      <c r="AY22" s="6">
        <f t="shared" si="0"/>
        <v>83</v>
      </c>
      <c r="AZ22">
        <v>10</v>
      </c>
      <c r="BA22">
        <v>9600</v>
      </c>
      <c r="BB22">
        <v>7136171</v>
      </c>
      <c r="BC22" t="s">
        <v>177</v>
      </c>
      <c r="BD22" t="s">
        <v>178</v>
      </c>
      <c r="BE22" t="s">
        <v>133</v>
      </c>
      <c r="BF22" t="s">
        <v>333</v>
      </c>
      <c r="BG22" s="1" t="s">
        <v>334</v>
      </c>
      <c r="BH22" s="1" t="s">
        <v>335</v>
      </c>
      <c r="BI22" t="s">
        <v>336</v>
      </c>
      <c r="BJ22" t="s">
        <v>619</v>
      </c>
      <c r="BK22" t="s">
        <v>128</v>
      </c>
      <c r="BL22" s="7">
        <f t="shared" si="1"/>
        <v>1.4013117118409859</v>
      </c>
      <c r="BM22" s="7">
        <f t="shared" si="2"/>
        <v>1345.2592433673465</v>
      </c>
      <c r="BN22" s="6">
        <f>IFERROR(VLOOKUP(H22,index_logic!$A$4:$B$8,2,FALSE),0)</f>
        <v>30</v>
      </c>
      <c r="BO22" s="6">
        <f>IFERROR(VLOOKUP(AD22,index_logic!$D$4:$E$21,2,FALSE),0)</f>
        <v>10</v>
      </c>
      <c r="BP22" s="6">
        <f>IFERROR(VLOOKUP(AM22,index_logic!$G$4:$H$6,2,FALSE),0)</f>
        <v>7</v>
      </c>
      <c r="BQ22" s="6">
        <f>IFERROR(VLOOKUP(AH22,index_logic!$J$4:$K$6,2,FALSE),0)</f>
        <v>15</v>
      </c>
      <c r="BR22" s="6">
        <f>IFERROR(VLOOKUP(BE22,index_logic!$M$4:$N$7,2,FALSE),0)</f>
        <v>10</v>
      </c>
      <c r="BS22" s="6">
        <f>IFERROR(VLOOKUP(BL22,index_logic!$P$4:$Q$9,2,TRUE),0)</f>
        <v>5</v>
      </c>
      <c r="BT22" s="6">
        <f>IFERROR(VLOOKUP(BM22,index_logic!$S$4:$T$9,2,TRUE),0)</f>
        <v>6</v>
      </c>
      <c r="BU22" s="6">
        <f t="shared" si="3"/>
        <v>83</v>
      </c>
      <c r="BV22" t="str">
        <f t="shared" si="4"/>
        <v>Very High</v>
      </c>
    </row>
    <row r="23" spans="1:74" x14ac:dyDescent="0.2">
      <c r="A23" t="s">
        <v>337</v>
      </c>
      <c r="B23" t="s">
        <v>338</v>
      </c>
      <c r="C23">
        <v>2026</v>
      </c>
      <c r="D23" t="s">
        <v>99</v>
      </c>
      <c r="E23">
        <v>0</v>
      </c>
      <c r="F23" t="s">
        <v>100</v>
      </c>
      <c r="G23" t="s">
        <v>4</v>
      </c>
      <c r="H23" t="s">
        <v>101</v>
      </c>
      <c r="I23" t="s">
        <v>102</v>
      </c>
      <c r="J23" t="s">
        <v>103</v>
      </c>
      <c r="K23">
        <v>0</v>
      </c>
      <c r="L23">
        <v>0</v>
      </c>
      <c r="M23">
        <v>0</v>
      </c>
      <c r="N23">
        <v>0</v>
      </c>
      <c r="O23" t="s">
        <v>104</v>
      </c>
      <c r="P23">
        <v>0</v>
      </c>
      <c r="Q23">
        <v>0</v>
      </c>
      <c r="R23">
        <v>0</v>
      </c>
      <c r="U23" t="s">
        <v>101</v>
      </c>
      <c r="V23">
        <v>0</v>
      </c>
      <c r="X23" t="s">
        <v>105</v>
      </c>
      <c r="Y23" t="s">
        <v>105</v>
      </c>
      <c r="Z23" t="s">
        <v>105</v>
      </c>
      <c r="AA23" t="s">
        <v>106</v>
      </c>
      <c r="AB23" t="s">
        <v>106</v>
      </c>
      <c r="AC23" t="s">
        <v>107</v>
      </c>
      <c r="AD23" t="s">
        <v>105</v>
      </c>
      <c r="AE23" t="s">
        <v>105</v>
      </c>
      <c r="AF23" t="s">
        <v>105</v>
      </c>
      <c r="AG23" t="s">
        <v>105</v>
      </c>
      <c r="AH23" t="s">
        <v>131</v>
      </c>
      <c r="AI23" t="s">
        <v>131</v>
      </c>
      <c r="AJ23" t="s">
        <v>131</v>
      </c>
      <c r="AK23" t="s">
        <v>131</v>
      </c>
      <c r="AL23" t="s">
        <v>131</v>
      </c>
      <c r="AM23" t="s">
        <v>175</v>
      </c>
      <c r="AN23" t="s">
        <v>114</v>
      </c>
      <c r="AO23" t="s">
        <v>114</v>
      </c>
      <c r="AP23" t="s">
        <v>116</v>
      </c>
      <c r="AQ23" t="s">
        <v>176</v>
      </c>
      <c r="AR23" t="s">
        <v>118</v>
      </c>
      <c r="AS23" t="s">
        <v>119</v>
      </c>
      <c r="AT23" t="s">
        <v>120</v>
      </c>
      <c r="AU23" t="s">
        <v>121</v>
      </c>
      <c r="AV23">
        <v>0</v>
      </c>
      <c r="AW23">
        <v>0</v>
      </c>
      <c r="AX23">
        <v>0</v>
      </c>
      <c r="AY23" s="6">
        <f t="shared" si="0"/>
        <v>44</v>
      </c>
      <c r="AZ23">
        <v>10</v>
      </c>
      <c r="BA23">
        <v>5660</v>
      </c>
      <c r="BB23">
        <v>10140459</v>
      </c>
      <c r="BC23" t="s">
        <v>122</v>
      </c>
      <c r="BD23" t="s">
        <v>132</v>
      </c>
      <c r="BE23" t="s">
        <v>133</v>
      </c>
      <c r="BF23" t="s">
        <v>125</v>
      </c>
      <c r="BG23" s="1" t="s">
        <v>16</v>
      </c>
      <c r="BH23" s="1" t="s">
        <v>134</v>
      </c>
      <c r="BI23" t="s">
        <v>127</v>
      </c>
      <c r="BJ23" t="s">
        <v>619</v>
      </c>
      <c r="BK23" t="s">
        <v>128</v>
      </c>
      <c r="BL23" s="7">
        <f t="shared" si="1"/>
        <v>0.98614865461218271</v>
      </c>
      <c r="BM23" s="7">
        <f t="shared" si="2"/>
        <v>558.16013851049547</v>
      </c>
      <c r="BN23" s="6">
        <f>IFERROR(VLOOKUP(H23,index_logic!$A$4:$B$8,2,FALSE),0)</f>
        <v>0</v>
      </c>
      <c r="BO23" s="6">
        <f>IFERROR(VLOOKUP(AD23,index_logic!$D$4:$E$21,2,FALSE),0)</f>
        <v>3</v>
      </c>
      <c r="BP23" s="6">
        <f>IFERROR(VLOOKUP(AM23,index_logic!$G$4:$H$6,2,FALSE),0)</f>
        <v>10</v>
      </c>
      <c r="BQ23" s="6">
        <f>IFERROR(VLOOKUP(AH23,index_logic!$J$4:$K$6,2,FALSE),0)</f>
        <v>15</v>
      </c>
      <c r="BR23" s="6">
        <f>IFERROR(VLOOKUP(BE23,index_logic!$M$4:$N$7,2,FALSE),0)</f>
        <v>10</v>
      </c>
      <c r="BS23" s="6">
        <f>IFERROR(VLOOKUP(BL23,index_logic!$P$4:$Q$9,2,TRUE),0)</f>
        <v>4</v>
      </c>
      <c r="BT23" s="6">
        <f>IFERROR(VLOOKUP(BM23,index_logic!$S$4:$T$9,2,TRUE),0)</f>
        <v>2</v>
      </c>
      <c r="BU23" s="6">
        <f t="shared" si="3"/>
        <v>44</v>
      </c>
      <c r="BV23" t="str">
        <f t="shared" si="4"/>
        <v>Low</v>
      </c>
    </row>
    <row r="24" spans="1:74" x14ac:dyDescent="0.2">
      <c r="A24" t="s">
        <v>339</v>
      </c>
      <c r="B24" t="s">
        <v>340</v>
      </c>
      <c r="C24">
        <v>2026</v>
      </c>
      <c r="D24" t="s">
        <v>99</v>
      </c>
      <c r="E24">
        <v>0</v>
      </c>
      <c r="F24" t="s">
        <v>100</v>
      </c>
      <c r="G24" t="s">
        <v>4</v>
      </c>
      <c r="H24" t="s">
        <v>101</v>
      </c>
      <c r="I24" t="s">
        <v>102</v>
      </c>
      <c r="J24" t="s">
        <v>103</v>
      </c>
      <c r="K24">
        <v>0</v>
      </c>
      <c r="L24">
        <v>0</v>
      </c>
      <c r="M24">
        <v>0</v>
      </c>
      <c r="N24">
        <v>0</v>
      </c>
      <c r="O24" t="s">
        <v>104</v>
      </c>
      <c r="P24">
        <v>0</v>
      </c>
      <c r="Q24">
        <v>0</v>
      </c>
      <c r="R24">
        <v>0</v>
      </c>
      <c r="U24" t="s">
        <v>101</v>
      </c>
      <c r="V24">
        <v>0</v>
      </c>
      <c r="X24" t="s">
        <v>105</v>
      </c>
      <c r="Y24" t="s">
        <v>105</v>
      </c>
      <c r="Z24" t="s">
        <v>105</v>
      </c>
      <c r="AA24" t="s">
        <v>106</v>
      </c>
      <c r="AB24" t="s">
        <v>106</v>
      </c>
      <c r="AC24" t="s">
        <v>107</v>
      </c>
      <c r="AD24" t="s">
        <v>105</v>
      </c>
      <c r="AE24" t="s">
        <v>105</v>
      </c>
      <c r="AF24" t="s">
        <v>105</v>
      </c>
      <c r="AG24" t="s">
        <v>105</v>
      </c>
      <c r="AH24" t="s">
        <v>131</v>
      </c>
      <c r="AI24" t="s">
        <v>131</v>
      </c>
      <c r="AJ24" t="s">
        <v>131</v>
      </c>
      <c r="AK24" t="s">
        <v>131</v>
      </c>
      <c r="AL24" t="s">
        <v>131</v>
      </c>
      <c r="AM24" t="s">
        <v>113</v>
      </c>
      <c r="AN24" t="s">
        <v>116</v>
      </c>
      <c r="AO24" t="s">
        <v>115</v>
      </c>
      <c r="AP24" t="s">
        <v>116</v>
      </c>
      <c r="AQ24" t="s">
        <v>117</v>
      </c>
      <c r="AR24" t="s">
        <v>118</v>
      </c>
      <c r="AS24" t="s">
        <v>119</v>
      </c>
      <c r="AT24" t="s">
        <v>120</v>
      </c>
      <c r="AU24" t="s">
        <v>121</v>
      </c>
      <c r="AV24">
        <v>0</v>
      </c>
      <c r="AW24">
        <v>0</v>
      </c>
      <c r="AX24">
        <v>0</v>
      </c>
      <c r="AY24" s="6">
        <f t="shared" si="0"/>
        <v>40</v>
      </c>
      <c r="AZ24">
        <v>8</v>
      </c>
      <c r="BA24">
        <v>4808</v>
      </c>
      <c r="BB24">
        <v>5793151</v>
      </c>
      <c r="BC24" t="s">
        <v>177</v>
      </c>
      <c r="BD24" t="s">
        <v>132</v>
      </c>
      <c r="BE24" t="s">
        <v>133</v>
      </c>
      <c r="BF24" t="s">
        <v>125</v>
      </c>
      <c r="BG24" s="1" t="s">
        <v>16</v>
      </c>
      <c r="BH24" s="1" t="s">
        <v>134</v>
      </c>
      <c r="BI24" t="s">
        <v>127</v>
      </c>
      <c r="BJ24" t="s">
        <v>619</v>
      </c>
      <c r="BK24" t="s">
        <v>128</v>
      </c>
      <c r="BL24" s="7">
        <f t="shared" si="1"/>
        <v>1.3809410457279641</v>
      </c>
      <c r="BM24" s="7">
        <f t="shared" si="2"/>
        <v>829.94556848250636</v>
      </c>
      <c r="BN24" s="6">
        <f>IFERROR(VLOOKUP(H24,index_logic!$A$4:$B$8,2,FALSE),0)</f>
        <v>0</v>
      </c>
      <c r="BO24" s="6">
        <f>IFERROR(VLOOKUP(AD24,index_logic!$D$4:$E$21,2,FALSE),0)</f>
        <v>3</v>
      </c>
      <c r="BP24" s="6">
        <f>IFERROR(VLOOKUP(AM24,index_logic!$G$4:$H$6,2,FALSE),0)</f>
        <v>3</v>
      </c>
      <c r="BQ24" s="6">
        <f>IFERROR(VLOOKUP(AH24,index_logic!$J$4:$K$6,2,FALSE),0)</f>
        <v>15</v>
      </c>
      <c r="BR24" s="6">
        <f>IFERROR(VLOOKUP(BE24,index_logic!$M$4:$N$7,2,FALSE),0)</f>
        <v>10</v>
      </c>
      <c r="BS24" s="6">
        <f>IFERROR(VLOOKUP(BL24,index_logic!$P$4:$Q$9,2,TRUE),0)</f>
        <v>5</v>
      </c>
      <c r="BT24" s="6">
        <f>IFERROR(VLOOKUP(BM24,index_logic!$S$4:$T$9,2,TRUE),0)</f>
        <v>4</v>
      </c>
      <c r="BU24" s="6">
        <f t="shared" si="3"/>
        <v>40</v>
      </c>
      <c r="BV24" t="str">
        <f t="shared" si="4"/>
        <v>Low</v>
      </c>
    </row>
    <row r="25" spans="1:74" x14ac:dyDescent="0.2">
      <c r="A25" t="s">
        <v>341</v>
      </c>
      <c r="B25" t="s">
        <v>342</v>
      </c>
      <c r="C25">
        <v>2026</v>
      </c>
      <c r="D25" t="s">
        <v>99</v>
      </c>
      <c r="E25">
        <v>0</v>
      </c>
      <c r="F25" t="s">
        <v>100</v>
      </c>
      <c r="G25" t="s">
        <v>4</v>
      </c>
      <c r="H25" t="s">
        <v>101</v>
      </c>
      <c r="I25" t="s">
        <v>102</v>
      </c>
      <c r="J25" t="s">
        <v>103</v>
      </c>
      <c r="K25">
        <v>0</v>
      </c>
      <c r="L25">
        <v>0</v>
      </c>
      <c r="M25">
        <v>0</v>
      </c>
      <c r="N25">
        <v>0</v>
      </c>
      <c r="O25" t="s">
        <v>104</v>
      </c>
      <c r="P25">
        <v>0</v>
      </c>
      <c r="Q25">
        <v>0</v>
      </c>
      <c r="R25">
        <v>0</v>
      </c>
      <c r="U25" t="s">
        <v>101</v>
      </c>
      <c r="V25">
        <v>0</v>
      </c>
      <c r="X25" t="s">
        <v>105</v>
      </c>
      <c r="Y25" t="s">
        <v>105</v>
      </c>
      <c r="Z25" t="s">
        <v>105</v>
      </c>
      <c r="AA25" t="s">
        <v>106</v>
      </c>
      <c r="AB25" t="s">
        <v>106</v>
      </c>
      <c r="AC25" t="s">
        <v>107</v>
      </c>
      <c r="AD25" t="s">
        <v>105</v>
      </c>
      <c r="AE25" t="s">
        <v>105</v>
      </c>
      <c r="AF25" t="s">
        <v>105</v>
      </c>
      <c r="AG25" t="s">
        <v>105</v>
      </c>
      <c r="AH25" t="s">
        <v>131</v>
      </c>
      <c r="AI25" t="s">
        <v>131</v>
      </c>
      <c r="AJ25" t="s">
        <v>131</v>
      </c>
      <c r="AK25" t="s">
        <v>131</v>
      </c>
      <c r="AL25" t="s">
        <v>131</v>
      </c>
      <c r="AM25" t="s">
        <v>113</v>
      </c>
      <c r="AN25" t="s">
        <v>116</v>
      </c>
      <c r="AO25" t="s">
        <v>115</v>
      </c>
      <c r="AP25" t="s">
        <v>116</v>
      </c>
      <c r="AQ25" t="s">
        <v>117</v>
      </c>
      <c r="AR25" t="s">
        <v>118</v>
      </c>
      <c r="AS25" t="s">
        <v>119</v>
      </c>
      <c r="AT25" t="s">
        <v>120</v>
      </c>
      <c r="AU25" t="s">
        <v>121</v>
      </c>
      <c r="AV25">
        <v>0</v>
      </c>
      <c r="AW25">
        <v>0</v>
      </c>
      <c r="AX25">
        <v>0</v>
      </c>
      <c r="AY25" s="6">
        <f t="shared" si="0"/>
        <v>26</v>
      </c>
      <c r="AZ25">
        <v>2</v>
      </c>
      <c r="BA25">
        <v>847</v>
      </c>
      <c r="BB25">
        <v>2943045</v>
      </c>
      <c r="BC25" t="s">
        <v>122</v>
      </c>
      <c r="BD25" t="s">
        <v>123</v>
      </c>
      <c r="BE25" t="s">
        <v>124</v>
      </c>
      <c r="BF25" t="s">
        <v>125</v>
      </c>
      <c r="BG25" s="1" t="s">
        <v>16</v>
      </c>
      <c r="BH25" s="1" t="s">
        <v>134</v>
      </c>
      <c r="BI25" t="s">
        <v>127</v>
      </c>
      <c r="BJ25" t="s">
        <v>619</v>
      </c>
      <c r="BK25" t="s">
        <v>128</v>
      </c>
      <c r="BL25" s="7">
        <f t="shared" si="1"/>
        <v>0.67956827027789246</v>
      </c>
      <c r="BM25" s="7">
        <f t="shared" si="2"/>
        <v>287.79716246268748</v>
      </c>
      <c r="BN25" s="6">
        <f>IFERROR(VLOOKUP(H25,index_logic!$A$4:$B$8,2,FALSE),0)</f>
        <v>0</v>
      </c>
      <c r="BO25" s="6">
        <f>IFERROR(VLOOKUP(AD25,index_logic!$D$4:$E$21,2,FALSE),0)</f>
        <v>3</v>
      </c>
      <c r="BP25" s="6">
        <f>IFERROR(VLOOKUP(AM25,index_logic!$G$4:$H$6,2,FALSE),0)</f>
        <v>3</v>
      </c>
      <c r="BQ25" s="6">
        <f>IFERROR(VLOOKUP(AH25,index_logic!$J$4:$K$6,2,FALSE),0)</f>
        <v>15</v>
      </c>
      <c r="BR25" s="6">
        <f>IFERROR(VLOOKUP(BE25,index_logic!$M$4:$N$7,2,FALSE),0)</f>
        <v>0</v>
      </c>
      <c r="BS25" s="6">
        <f>IFERROR(VLOOKUP(BL25,index_logic!$P$4:$Q$9,2,TRUE),0)</f>
        <v>3</v>
      </c>
      <c r="BT25" s="6">
        <f>IFERROR(VLOOKUP(BM25,index_logic!$S$4:$T$9,2,TRUE),0)</f>
        <v>2</v>
      </c>
      <c r="BU25" s="6">
        <f t="shared" si="3"/>
        <v>26</v>
      </c>
      <c r="BV25" t="str">
        <f t="shared" si="4"/>
        <v>Very Low</v>
      </c>
    </row>
    <row r="26" spans="1:74" x14ac:dyDescent="0.2">
      <c r="A26" t="s">
        <v>343</v>
      </c>
      <c r="B26" t="s">
        <v>344</v>
      </c>
      <c r="C26">
        <v>2026</v>
      </c>
      <c r="D26" t="s">
        <v>99</v>
      </c>
      <c r="E26">
        <v>0</v>
      </c>
      <c r="F26" t="s">
        <v>100</v>
      </c>
      <c r="G26" t="s">
        <v>4</v>
      </c>
      <c r="H26" t="s">
        <v>101</v>
      </c>
      <c r="I26" t="s">
        <v>102</v>
      </c>
      <c r="J26" t="s">
        <v>103</v>
      </c>
      <c r="K26">
        <v>0</v>
      </c>
      <c r="L26">
        <v>0</v>
      </c>
      <c r="M26">
        <v>0</v>
      </c>
      <c r="N26">
        <v>0</v>
      </c>
      <c r="O26" t="s">
        <v>104</v>
      </c>
      <c r="P26">
        <v>0</v>
      </c>
      <c r="Q26">
        <v>0</v>
      </c>
      <c r="R26">
        <v>0</v>
      </c>
      <c r="U26" t="s">
        <v>101</v>
      </c>
      <c r="V26">
        <v>0</v>
      </c>
      <c r="X26" t="s">
        <v>105</v>
      </c>
      <c r="Y26" t="s">
        <v>105</v>
      </c>
      <c r="Z26" t="s">
        <v>105</v>
      </c>
      <c r="AA26" t="s">
        <v>106</v>
      </c>
      <c r="AB26" t="s">
        <v>106</v>
      </c>
      <c r="AC26" t="s">
        <v>107</v>
      </c>
      <c r="AD26" t="s">
        <v>105</v>
      </c>
      <c r="AE26" t="s">
        <v>105</v>
      </c>
      <c r="AF26" t="s">
        <v>105</v>
      </c>
      <c r="AG26" t="s">
        <v>105</v>
      </c>
      <c r="AH26" t="s">
        <v>131</v>
      </c>
      <c r="AI26" t="s">
        <v>131</v>
      </c>
      <c r="AJ26" t="s">
        <v>131</v>
      </c>
      <c r="AK26" t="s">
        <v>131</v>
      </c>
      <c r="AL26" t="s">
        <v>131</v>
      </c>
      <c r="AM26" t="s">
        <v>113</v>
      </c>
      <c r="AN26" t="s">
        <v>116</v>
      </c>
      <c r="AO26" t="s">
        <v>115</v>
      </c>
      <c r="AP26" t="s">
        <v>116</v>
      </c>
      <c r="AQ26" t="s">
        <v>117</v>
      </c>
      <c r="AR26" t="s">
        <v>118</v>
      </c>
      <c r="AS26" t="s">
        <v>119</v>
      </c>
      <c r="AT26" t="s">
        <v>120</v>
      </c>
      <c r="AU26" t="s">
        <v>121</v>
      </c>
      <c r="AV26">
        <v>0</v>
      </c>
      <c r="AW26">
        <v>0</v>
      </c>
      <c r="AX26">
        <v>0</v>
      </c>
      <c r="AY26" s="6">
        <f t="shared" si="0"/>
        <v>27</v>
      </c>
      <c r="AZ26">
        <v>6</v>
      </c>
      <c r="BA26">
        <v>4048</v>
      </c>
      <c r="BB26">
        <v>6245466</v>
      </c>
      <c r="BC26" t="s">
        <v>122</v>
      </c>
      <c r="BD26" t="s">
        <v>123</v>
      </c>
      <c r="BE26" t="s">
        <v>124</v>
      </c>
      <c r="BF26" t="s">
        <v>125</v>
      </c>
      <c r="BG26" s="1" t="s">
        <v>16</v>
      </c>
      <c r="BH26" s="1" t="s">
        <v>134</v>
      </c>
      <c r="BI26" t="s">
        <v>127</v>
      </c>
      <c r="BJ26" t="s">
        <v>619</v>
      </c>
      <c r="BK26" t="s">
        <v>128</v>
      </c>
      <c r="BL26" s="7">
        <f t="shared" si="1"/>
        <v>0.9606969279794334</v>
      </c>
      <c r="BM26" s="7">
        <f t="shared" si="2"/>
        <v>648.15019407679108</v>
      </c>
      <c r="BN26" s="6">
        <f>IFERROR(VLOOKUP(H26,index_logic!$A$4:$B$8,2,FALSE),0)</f>
        <v>0</v>
      </c>
      <c r="BO26" s="6">
        <f>IFERROR(VLOOKUP(AD26,index_logic!$D$4:$E$21,2,FALSE),0)</f>
        <v>3</v>
      </c>
      <c r="BP26" s="6">
        <f>IFERROR(VLOOKUP(AM26,index_logic!$G$4:$H$6,2,FALSE),0)</f>
        <v>3</v>
      </c>
      <c r="BQ26" s="6">
        <f>IFERROR(VLOOKUP(AH26,index_logic!$J$4:$K$6,2,FALSE),0)</f>
        <v>15</v>
      </c>
      <c r="BR26" s="6">
        <f>IFERROR(VLOOKUP(BE26,index_logic!$M$4:$N$7,2,FALSE),0)</f>
        <v>0</v>
      </c>
      <c r="BS26" s="6">
        <f>IFERROR(VLOOKUP(BL26,index_logic!$P$4:$Q$9,2,TRUE),0)</f>
        <v>4</v>
      </c>
      <c r="BT26" s="6">
        <f>IFERROR(VLOOKUP(BM26,index_logic!$S$4:$T$9,2,TRUE),0)</f>
        <v>2</v>
      </c>
      <c r="BU26" s="6">
        <f t="shared" si="3"/>
        <v>27</v>
      </c>
      <c r="BV26" t="str">
        <f t="shared" si="4"/>
        <v>Very Low</v>
      </c>
    </row>
    <row r="27" spans="1:74" x14ac:dyDescent="0.2">
      <c r="A27" t="s">
        <v>345</v>
      </c>
      <c r="B27" t="s">
        <v>346</v>
      </c>
      <c r="C27">
        <v>2026</v>
      </c>
      <c r="D27" t="s">
        <v>142</v>
      </c>
      <c r="E27">
        <v>1987</v>
      </c>
      <c r="F27" t="s">
        <v>100</v>
      </c>
      <c r="G27" t="s">
        <v>4</v>
      </c>
      <c r="H27" t="s">
        <v>137</v>
      </c>
      <c r="I27" t="s">
        <v>347</v>
      </c>
      <c r="J27" t="s">
        <v>348</v>
      </c>
      <c r="K27" t="s">
        <v>146</v>
      </c>
      <c r="L27" t="s">
        <v>146</v>
      </c>
      <c r="M27" t="s">
        <v>146</v>
      </c>
      <c r="N27" t="s">
        <v>116</v>
      </c>
      <c r="O27" t="s">
        <v>114</v>
      </c>
      <c r="P27" t="s">
        <v>146</v>
      </c>
      <c r="Q27" t="s">
        <v>146</v>
      </c>
      <c r="R27" t="s">
        <v>104</v>
      </c>
      <c r="S27" t="s">
        <v>104</v>
      </c>
      <c r="T27" t="s">
        <v>104</v>
      </c>
      <c r="U27" t="s">
        <v>101</v>
      </c>
      <c r="V27">
        <v>0</v>
      </c>
      <c r="W27" t="s">
        <v>104</v>
      </c>
      <c r="X27" t="s">
        <v>349</v>
      </c>
      <c r="Y27" t="s">
        <v>350</v>
      </c>
      <c r="Z27" t="s">
        <v>351</v>
      </c>
      <c r="AA27" t="s">
        <v>151</v>
      </c>
      <c r="AB27" t="s">
        <v>151</v>
      </c>
      <c r="AC27" t="s">
        <v>107</v>
      </c>
      <c r="AD27" t="s">
        <v>349</v>
      </c>
      <c r="AE27" t="s">
        <v>349</v>
      </c>
      <c r="AF27" t="s">
        <v>349</v>
      </c>
      <c r="AG27" t="s">
        <v>349</v>
      </c>
      <c r="AH27" t="s">
        <v>131</v>
      </c>
      <c r="AI27" t="s">
        <v>131</v>
      </c>
      <c r="AJ27" t="s">
        <v>131</v>
      </c>
      <c r="AK27" t="s">
        <v>131</v>
      </c>
      <c r="AL27" t="s">
        <v>131</v>
      </c>
      <c r="AM27" t="s">
        <v>113</v>
      </c>
      <c r="AN27" t="s">
        <v>116</v>
      </c>
      <c r="AO27" t="s">
        <v>115</v>
      </c>
      <c r="AP27" t="s">
        <v>116</v>
      </c>
      <c r="AQ27" t="s">
        <v>117</v>
      </c>
      <c r="AR27" t="s">
        <v>118</v>
      </c>
      <c r="AS27" t="s">
        <v>119</v>
      </c>
      <c r="AT27" t="s">
        <v>120</v>
      </c>
      <c r="AU27" t="s">
        <v>121</v>
      </c>
      <c r="AV27">
        <v>1987</v>
      </c>
      <c r="AW27">
        <v>2023</v>
      </c>
      <c r="AX27">
        <v>0</v>
      </c>
      <c r="AY27" s="6">
        <f t="shared" si="0"/>
        <v>52</v>
      </c>
      <c r="AZ27">
        <v>1</v>
      </c>
      <c r="BA27">
        <v>462</v>
      </c>
      <c r="BB27">
        <v>1137233</v>
      </c>
      <c r="BC27" t="s">
        <v>122</v>
      </c>
      <c r="BD27" t="s">
        <v>123</v>
      </c>
      <c r="BE27" t="s">
        <v>133</v>
      </c>
      <c r="BF27" t="s">
        <v>352</v>
      </c>
      <c r="BG27" s="1" t="s">
        <v>353</v>
      </c>
      <c r="BH27" s="1" t="s">
        <v>134</v>
      </c>
      <c r="BI27" t="s">
        <v>354</v>
      </c>
      <c r="BJ27" t="s">
        <v>619</v>
      </c>
      <c r="BK27" t="s">
        <v>128</v>
      </c>
      <c r="BL27" s="7">
        <f t="shared" si="1"/>
        <v>0.87932727945812328</v>
      </c>
      <c r="BM27" s="7">
        <f t="shared" si="2"/>
        <v>406.24920310965297</v>
      </c>
      <c r="BN27" s="6">
        <f>IFERROR(VLOOKUP(H27,index_logic!$A$4:$B$8,2,FALSE),0)</f>
        <v>12</v>
      </c>
      <c r="BO27" s="6">
        <f>IFERROR(VLOOKUP(AD27,index_logic!$D$4:$E$21,2,FALSE),0)</f>
        <v>6</v>
      </c>
      <c r="BP27" s="6">
        <f>IFERROR(VLOOKUP(AM27,index_logic!$G$4:$H$6,2,FALSE),0)</f>
        <v>3</v>
      </c>
      <c r="BQ27" s="6">
        <f>IFERROR(VLOOKUP(AH27,index_logic!$J$4:$K$6,2,FALSE),0)</f>
        <v>15</v>
      </c>
      <c r="BR27" s="6">
        <f>IFERROR(VLOOKUP(BE27,index_logic!$M$4:$N$7,2,FALSE),0)</f>
        <v>10</v>
      </c>
      <c r="BS27" s="6">
        <f>IFERROR(VLOOKUP(BL27,index_logic!$P$4:$Q$9,2,TRUE),0)</f>
        <v>4</v>
      </c>
      <c r="BT27" s="6">
        <f>IFERROR(VLOOKUP(BM27,index_logic!$S$4:$T$9,2,TRUE),0)</f>
        <v>2</v>
      </c>
      <c r="BU27" s="6">
        <f t="shared" si="3"/>
        <v>52</v>
      </c>
      <c r="BV27" t="str">
        <f t="shared" si="4"/>
        <v>Moderate</v>
      </c>
    </row>
    <row r="28" spans="1:74" x14ac:dyDescent="0.2">
      <c r="A28" t="s">
        <v>355</v>
      </c>
      <c r="B28" t="s">
        <v>356</v>
      </c>
      <c r="C28">
        <v>2026</v>
      </c>
      <c r="D28" t="s">
        <v>99</v>
      </c>
      <c r="E28">
        <v>0</v>
      </c>
      <c r="F28" t="s">
        <v>100</v>
      </c>
      <c r="G28" t="s">
        <v>4</v>
      </c>
      <c r="H28" t="s">
        <v>101</v>
      </c>
      <c r="I28" t="s">
        <v>102</v>
      </c>
      <c r="J28" t="s">
        <v>103</v>
      </c>
      <c r="K28">
        <v>0</v>
      </c>
      <c r="L28">
        <v>0</v>
      </c>
      <c r="M28">
        <v>0</v>
      </c>
      <c r="N28">
        <v>0</v>
      </c>
      <c r="O28" t="s">
        <v>104</v>
      </c>
      <c r="P28">
        <v>0</v>
      </c>
      <c r="Q28">
        <v>0</v>
      </c>
      <c r="R28">
        <v>0</v>
      </c>
      <c r="U28" t="s">
        <v>101</v>
      </c>
      <c r="V28">
        <v>0</v>
      </c>
      <c r="X28" t="s">
        <v>105</v>
      </c>
      <c r="Y28" t="s">
        <v>105</v>
      </c>
      <c r="Z28" t="s">
        <v>105</v>
      </c>
      <c r="AA28" t="s">
        <v>106</v>
      </c>
      <c r="AB28" t="s">
        <v>106</v>
      </c>
      <c r="AC28" t="s">
        <v>107</v>
      </c>
      <c r="AD28" t="s">
        <v>105</v>
      </c>
      <c r="AE28" t="s">
        <v>105</v>
      </c>
      <c r="AF28" t="s">
        <v>105</v>
      </c>
      <c r="AG28" t="s">
        <v>105</v>
      </c>
      <c r="AH28" t="s">
        <v>131</v>
      </c>
      <c r="AI28" t="s">
        <v>131</v>
      </c>
      <c r="AJ28" t="s">
        <v>131</v>
      </c>
      <c r="AK28" t="s">
        <v>131</v>
      </c>
      <c r="AL28" t="s">
        <v>131</v>
      </c>
      <c r="AM28" t="s">
        <v>113</v>
      </c>
      <c r="AN28" t="s">
        <v>281</v>
      </c>
      <c r="AO28" t="s">
        <v>115</v>
      </c>
      <c r="AP28" t="s">
        <v>116</v>
      </c>
      <c r="AQ28" t="s">
        <v>117</v>
      </c>
      <c r="AR28" t="s">
        <v>118</v>
      </c>
      <c r="AS28" t="s">
        <v>119</v>
      </c>
      <c r="AT28" t="s">
        <v>120</v>
      </c>
      <c r="AU28" t="s">
        <v>121</v>
      </c>
      <c r="AV28">
        <v>0</v>
      </c>
      <c r="AW28">
        <v>0</v>
      </c>
      <c r="AX28">
        <v>0</v>
      </c>
      <c r="AY28" s="6">
        <f t="shared" si="0"/>
        <v>31</v>
      </c>
      <c r="AZ28">
        <v>3</v>
      </c>
      <c r="BA28">
        <v>1398</v>
      </c>
      <c r="BB28">
        <v>2005465</v>
      </c>
      <c r="BC28" t="s">
        <v>122</v>
      </c>
      <c r="BD28" t="s">
        <v>123</v>
      </c>
      <c r="BE28" t="s">
        <v>139</v>
      </c>
      <c r="BF28" t="s">
        <v>125</v>
      </c>
      <c r="BG28" s="1" t="s">
        <v>16</v>
      </c>
      <c r="BH28" s="1" t="s">
        <v>134</v>
      </c>
      <c r="BI28" t="s">
        <v>127</v>
      </c>
      <c r="BJ28" t="s">
        <v>619</v>
      </c>
      <c r="BK28" t="s">
        <v>128</v>
      </c>
      <c r="BL28" s="7">
        <f t="shared" si="1"/>
        <v>1.4959124193142237</v>
      </c>
      <c r="BM28" s="7">
        <f t="shared" si="2"/>
        <v>697.09518740042824</v>
      </c>
      <c r="BN28" s="6">
        <f>IFERROR(VLOOKUP(H28,index_logic!$A$4:$B$8,2,FALSE),0)</f>
        <v>0</v>
      </c>
      <c r="BO28" s="6">
        <f>IFERROR(VLOOKUP(AD28,index_logic!$D$4:$E$21,2,FALSE),0)</f>
        <v>3</v>
      </c>
      <c r="BP28" s="6">
        <f>IFERROR(VLOOKUP(AM28,index_logic!$G$4:$H$6,2,FALSE),0)</f>
        <v>3</v>
      </c>
      <c r="BQ28" s="6">
        <f>IFERROR(VLOOKUP(AH28,index_logic!$J$4:$K$6,2,FALSE),0)</f>
        <v>15</v>
      </c>
      <c r="BR28" s="6">
        <f>IFERROR(VLOOKUP(BE28,index_logic!$M$4:$N$7,2,FALSE),0)</f>
        <v>3</v>
      </c>
      <c r="BS28" s="6">
        <f>IFERROR(VLOOKUP(BL28,index_logic!$P$4:$Q$9,2,TRUE),0)</f>
        <v>5</v>
      </c>
      <c r="BT28" s="6">
        <f>IFERROR(VLOOKUP(BM28,index_logic!$S$4:$T$9,2,TRUE),0)</f>
        <v>2</v>
      </c>
      <c r="BU28" s="6">
        <f t="shared" si="3"/>
        <v>31</v>
      </c>
      <c r="BV28" t="str">
        <f t="shared" si="4"/>
        <v>Very Low</v>
      </c>
    </row>
    <row r="29" spans="1:74" x14ac:dyDescent="0.2">
      <c r="A29" t="s">
        <v>357</v>
      </c>
      <c r="B29" t="s">
        <v>358</v>
      </c>
      <c r="C29">
        <v>2026</v>
      </c>
      <c r="D29" t="s">
        <v>142</v>
      </c>
      <c r="E29">
        <v>0</v>
      </c>
      <c r="F29" t="s">
        <v>100</v>
      </c>
      <c r="G29" t="s">
        <v>4</v>
      </c>
      <c r="H29" t="s">
        <v>229</v>
      </c>
      <c r="I29" t="s">
        <v>230</v>
      </c>
      <c r="J29" t="s">
        <v>231</v>
      </c>
      <c r="K29">
        <v>0</v>
      </c>
      <c r="L29">
        <v>0</v>
      </c>
      <c r="M29">
        <v>0</v>
      </c>
      <c r="N29">
        <v>0</v>
      </c>
      <c r="O29" t="s">
        <v>114</v>
      </c>
      <c r="P29">
        <v>0</v>
      </c>
      <c r="Q29">
        <v>0</v>
      </c>
      <c r="R29">
        <v>0</v>
      </c>
      <c r="S29" t="s">
        <v>104</v>
      </c>
      <c r="T29" t="s">
        <v>231</v>
      </c>
      <c r="U29" t="s">
        <v>101</v>
      </c>
      <c r="V29">
        <v>0</v>
      </c>
      <c r="W29" t="s">
        <v>359</v>
      </c>
      <c r="X29" t="s">
        <v>233</v>
      </c>
      <c r="Y29" t="s">
        <v>233</v>
      </c>
      <c r="Z29" t="s">
        <v>233</v>
      </c>
      <c r="AA29" t="s">
        <v>106</v>
      </c>
      <c r="AB29" t="s">
        <v>106</v>
      </c>
      <c r="AC29" t="s">
        <v>107</v>
      </c>
      <c r="AD29" t="s">
        <v>233</v>
      </c>
      <c r="AE29" t="s">
        <v>233</v>
      </c>
      <c r="AF29" t="s">
        <v>233</v>
      </c>
      <c r="AG29" t="s">
        <v>233</v>
      </c>
      <c r="AH29" t="s">
        <v>131</v>
      </c>
      <c r="AI29" t="s">
        <v>131</v>
      </c>
      <c r="AJ29" t="s">
        <v>131</v>
      </c>
      <c r="AK29" t="s">
        <v>131</v>
      </c>
      <c r="AL29" t="s">
        <v>131</v>
      </c>
      <c r="AM29" t="s">
        <v>258</v>
      </c>
      <c r="AN29" t="s">
        <v>114</v>
      </c>
      <c r="AO29" t="s">
        <v>114</v>
      </c>
      <c r="AP29" t="s">
        <v>222</v>
      </c>
      <c r="AQ29" t="s">
        <v>176</v>
      </c>
      <c r="AR29" t="s">
        <v>118</v>
      </c>
      <c r="AS29" t="s">
        <v>119</v>
      </c>
      <c r="AT29" t="s">
        <v>120</v>
      </c>
      <c r="AU29" t="s">
        <v>121</v>
      </c>
      <c r="AV29">
        <v>0</v>
      </c>
      <c r="AW29">
        <v>0</v>
      </c>
      <c r="AX29">
        <v>0</v>
      </c>
      <c r="AY29" s="6">
        <f t="shared" si="0"/>
        <v>45</v>
      </c>
      <c r="AZ29">
        <v>3</v>
      </c>
      <c r="BA29">
        <v>2013</v>
      </c>
      <c r="BB29">
        <v>3267467</v>
      </c>
      <c r="BC29" t="s">
        <v>177</v>
      </c>
      <c r="BD29" t="s">
        <v>132</v>
      </c>
      <c r="BE29" t="s">
        <v>133</v>
      </c>
      <c r="BF29" t="s">
        <v>360</v>
      </c>
      <c r="BG29" s="1" t="s">
        <v>361</v>
      </c>
      <c r="BH29" s="1" t="s">
        <v>134</v>
      </c>
      <c r="BI29" t="s">
        <v>362</v>
      </c>
      <c r="BJ29" t="s">
        <v>619</v>
      </c>
      <c r="BK29" t="s">
        <v>128</v>
      </c>
      <c r="BL29" s="7">
        <f t="shared" si="1"/>
        <v>0.9181424020502732</v>
      </c>
      <c r="BM29" s="7">
        <f t="shared" si="2"/>
        <v>616.07355177573334</v>
      </c>
      <c r="BN29" s="6">
        <f>IFERROR(VLOOKUP(H29,index_logic!$A$4:$B$8,2,FALSE),0)</f>
        <v>4</v>
      </c>
      <c r="BO29" s="6">
        <f>IFERROR(VLOOKUP(AD29,index_logic!$D$4:$E$21,2,FALSE),0)</f>
        <v>3</v>
      </c>
      <c r="BP29" s="6">
        <f>IFERROR(VLOOKUP(AM29,index_logic!$G$4:$H$6,2,FALSE),0)</f>
        <v>7</v>
      </c>
      <c r="BQ29" s="6">
        <f>IFERROR(VLOOKUP(AH29,index_logic!$J$4:$K$6,2,FALSE),0)</f>
        <v>15</v>
      </c>
      <c r="BR29" s="6">
        <f>IFERROR(VLOOKUP(BE29,index_logic!$M$4:$N$7,2,FALSE),0)</f>
        <v>10</v>
      </c>
      <c r="BS29" s="6">
        <f>IFERROR(VLOOKUP(BL29,index_logic!$P$4:$Q$9,2,TRUE),0)</f>
        <v>4</v>
      </c>
      <c r="BT29" s="6">
        <f>IFERROR(VLOOKUP(BM29,index_logic!$S$4:$T$9,2,TRUE),0)</f>
        <v>2</v>
      </c>
      <c r="BU29" s="6">
        <f t="shared" si="3"/>
        <v>45</v>
      </c>
      <c r="BV29" t="str">
        <f t="shared" si="4"/>
        <v>Low</v>
      </c>
    </row>
    <row r="30" spans="1:74" x14ac:dyDescent="0.2">
      <c r="A30" t="s">
        <v>363</v>
      </c>
      <c r="B30" t="s">
        <v>364</v>
      </c>
      <c r="C30">
        <v>2026</v>
      </c>
      <c r="D30" t="s">
        <v>142</v>
      </c>
      <c r="E30">
        <v>2020</v>
      </c>
      <c r="F30" t="s">
        <v>100</v>
      </c>
      <c r="G30" t="s">
        <v>4</v>
      </c>
      <c r="H30" t="s">
        <v>143</v>
      </c>
      <c r="I30" t="s">
        <v>365</v>
      </c>
      <c r="J30" t="s">
        <v>366</v>
      </c>
      <c r="K30" t="s">
        <v>146</v>
      </c>
      <c r="L30" t="s">
        <v>146</v>
      </c>
      <c r="M30" t="s">
        <v>146</v>
      </c>
      <c r="N30" t="s">
        <v>114</v>
      </c>
      <c r="O30" t="s">
        <v>114</v>
      </c>
      <c r="P30" t="s">
        <v>146</v>
      </c>
      <c r="Q30" t="s">
        <v>146</v>
      </c>
      <c r="R30" t="s">
        <v>104</v>
      </c>
      <c r="S30" t="s">
        <v>104</v>
      </c>
      <c r="T30" t="s">
        <v>104</v>
      </c>
      <c r="U30" t="s">
        <v>101</v>
      </c>
      <c r="V30">
        <v>0</v>
      </c>
      <c r="W30" t="s">
        <v>104</v>
      </c>
      <c r="X30" t="s">
        <v>171</v>
      </c>
      <c r="Y30" t="s">
        <v>367</v>
      </c>
      <c r="Z30" t="s">
        <v>368</v>
      </c>
      <c r="AA30" t="s">
        <v>369</v>
      </c>
      <c r="AB30" t="s">
        <v>369</v>
      </c>
      <c r="AC30" t="s">
        <v>107</v>
      </c>
      <c r="AD30" t="s">
        <v>370</v>
      </c>
      <c r="AE30" t="s">
        <v>371</v>
      </c>
      <c r="AF30" t="s">
        <v>174</v>
      </c>
      <c r="AG30" t="s">
        <v>372</v>
      </c>
      <c r="AH30" t="s">
        <v>131</v>
      </c>
      <c r="AI30" t="s">
        <v>131</v>
      </c>
      <c r="AJ30" t="s">
        <v>131</v>
      </c>
      <c r="AK30" t="s">
        <v>131</v>
      </c>
      <c r="AL30" t="s">
        <v>131</v>
      </c>
      <c r="AM30" t="s">
        <v>175</v>
      </c>
      <c r="AN30" t="s">
        <v>114</v>
      </c>
      <c r="AO30" t="s">
        <v>114</v>
      </c>
      <c r="AP30" t="s">
        <v>222</v>
      </c>
      <c r="AQ30" t="s">
        <v>176</v>
      </c>
      <c r="AR30" t="s">
        <v>118</v>
      </c>
      <c r="AS30" t="s">
        <v>119</v>
      </c>
      <c r="AT30" t="s">
        <v>120</v>
      </c>
      <c r="AU30" t="s">
        <v>121</v>
      </c>
      <c r="AV30">
        <v>2019</v>
      </c>
      <c r="AW30">
        <v>2020</v>
      </c>
      <c r="AX30">
        <v>0</v>
      </c>
      <c r="AY30" s="6">
        <f t="shared" si="0"/>
        <v>89</v>
      </c>
      <c r="AZ30">
        <v>2</v>
      </c>
      <c r="BA30">
        <v>1304</v>
      </c>
      <c r="BB30">
        <v>1409032</v>
      </c>
      <c r="BC30" t="s">
        <v>122</v>
      </c>
      <c r="BD30" t="s">
        <v>123</v>
      </c>
      <c r="BE30" t="s">
        <v>278</v>
      </c>
      <c r="BF30" t="s">
        <v>373</v>
      </c>
      <c r="BG30" s="1" t="s">
        <v>374</v>
      </c>
      <c r="BH30" s="1" t="s">
        <v>375</v>
      </c>
      <c r="BI30" t="s">
        <v>376</v>
      </c>
      <c r="BJ30" t="s">
        <v>619</v>
      </c>
      <c r="BK30" t="s">
        <v>128</v>
      </c>
      <c r="BL30" s="7">
        <f t="shared" si="1"/>
        <v>1.4194141793798865</v>
      </c>
      <c r="BM30" s="7">
        <f t="shared" si="2"/>
        <v>925.45804495568586</v>
      </c>
      <c r="BN30" s="6">
        <f>IFERROR(VLOOKUP(H30,index_logic!$A$4:$B$8,2,FALSE),0)</f>
        <v>30</v>
      </c>
      <c r="BO30" s="6">
        <f>IFERROR(VLOOKUP(AD30,index_logic!$D$4:$E$21,2,FALSE),0)</f>
        <v>18</v>
      </c>
      <c r="BP30" s="6">
        <f>IFERROR(VLOOKUP(AM30,index_logic!$G$4:$H$6,2,FALSE),0)</f>
        <v>10</v>
      </c>
      <c r="BQ30" s="6">
        <f>IFERROR(VLOOKUP(AH30,index_logic!$J$4:$K$6,2,FALSE),0)</f>
        <v>15</v>
      </c>
      <c r="BR30" s="6">
        <f>IFERROR(VLOOKUP(BE30,index_logic!$M$4:$N$7,2,FALSE),0)</f>
        <v>7</v>
      </c>
      <c r="BS30" s="6">
        <f>IFERROR(VLOOKUP(BL30,index_logic!$P$4:$Q$9,2,TRUE),0)</f>
        <v>5</v>
      </c>
      <c r="BT30" s="6">
        <f>IFERROR(VLOOKUP(BM30,index_logic!$S$4:$T$9,2,TRUE),0)</f>
        <v>4</v>
      </c>
      <c r="BU30" s="6">
        <f t="shared" si="3"/>
        <v>89</v>
      </c>
      <c r="BV30" t="str">
        <f t="shared" si="4"/>
        <v>Very High</v>
      </c>
    </row>
    <row r="31" spans="1:74" x14ac:dyDescent="0.2">
      <c r="A31" t="s">
        <v>377</v>
      </c>
      <c r="B31" t="s">
        <v>378</v>
      </c>
      <c r="C31">
        <v>2026</v>
      </c>
      <c r="D31" t="s">
        <v>142</v>
      </c>
      <c r="E31">
        <v>2001</v>
      </c>
      <c r="F31" t="s">
        <v>100</v>
      </c>
      <c r="G31" t="s">
        <v>4</v>
      </c>
      <c r="H31" t="s">
        <v>143</v>
      </c>
      <c r="I31" t="s">
        <v>379</v>
      </c>
      <c r="J31" t="s">
        <v>200</v>
      </c>
      <c r="K31" t="s">
        <v>380</v>
      </c>
      <c r="L31" t="s">
        <v>381</v>
      </c>
      <c r="M31" t="s">
        <v>146</v>
      </c>
      <c r="N31" t="s">
        <v>146</v>
      </c>
      <c r="O31" t="s">
        <v>114</v>
      </c>
      <c r="P31" t="s">
        <v>146</v>
      </c>
      <c r="Q31" t="s">
        <v>146</v>
      </c>
      <c r="R31" t="s">
        <v>114</v>
      </c>
      <c r="S31" t="s">
        <v>315</v>
      </c>
      <c r="T31" t="s">
        <v>315</v>
      </c>
      <c r="U31" t="s">
        <v>101</v>
      </c>
      <c r="V31">
        <v>0</v>
      </c>
      <c r="W31" t="s">
        <v>104</v>
      </c>
      <c r="X31" t="s">
        <v>382</v>
      </c>
      <c r="Y31" t="s">
        <v>383</v>
      </c>
      <c r="Z31" t="s">
        <v>384</v>
      </c>
      <c r="AA31" t="s">
        <v>385</v>
      </c>
      <c r="AB31" t="s">
        <v>151</v>
      </c>
      <c r="AC31" t="s">
        <v>107</v>
      </c>
      <c r="AD31" t="s">
        <v>386</v>
      </c>
      <c r="AE31" t="s">
        <v>387</v>
      </c>
      <c r="AF31" t="s">
        <v>321</v>
      </c>
      <c r="AG31" t="s">
        <v>107</v>
      </c>
      <c r="AH31" t="s">
        <v>131</v>
      </c>
      <c r="AI31" t="s">
        <v>131</v>
      </c>
      <c r="AJ31" t="s">
        <v>131</v>
      </c>
      <c r="AK31" t="s">
        <v>131</v>
      </c>
      <c r="AL31" t="s">
        <v>131</v>
      </c>
      <c r="AM31" t="s">
        <v>175</v>
      </c>
      <c r="AN31" t="s">
        <v>114</v>
      </c>
      <c r="AO31" t="s">
        <v>114</v>
      </c>
      <c r="AP31" t="s">
        <v>114</v>
      </c>
      <c r="AQ31" t="s">
        <v>176</v>
      </c>
      <c r="AR31" t="s">
        <v>118</v>
      </c>
      <c r="AS31" t="s">
        <v>119</v>
      </c>
      <c r="AT31" t="s">
        <v>120</v>
      </c>
      <c r="AU31" t="s">
        <v>121</v>
      </c>
      <c r="AV31">
        <v>2001</v>
      </c>
      <c r="AW31">
        <v>2020</v>
      </c>
      <c r="AX31">
        <v>0</v>
      </c>
      <c r="AY31" s="6">
        <f t="shared" si="0"/>
        <v>88</v>
      </c>
      <c r="AZ31">
        <v>12</v>
      </c>
      <c r="BA31">
        <v>17074</v>
      </c>
      <c r="BB31">
        <v>9500851</v>
      </c>
      <c r="BC31" t="s">
        <v>177</v>
      </c>
      <c r="BD31" t="s">
        <v>178</v>
      </c>
      <c r="BE31" t="s">
        <v>133</v>
      </c>
      <c r="BF31" t="s">
        <v>388</v>
      </c>
      <c r="BG31" s="1" t="s">
        <v>389</v>
      </c>
      <c r="BH31" s="1" t="s">
        <v>390</v>
      </c>
      <c r="BI31" t="s">
        <v>391</v>
      </c>
      <c r="BJ31" t="s">
        <v>619</v>
      </c>
      <c r="BK31" t="s">
        <v>128</v>
      </c>
      <c r="BL31" s="7">
        <f t="shared" si="1"/>
        <v>1.2630447525174324</v>
      </c>
      <c r="BM31" s="7">
        <f t="shared" si="2"/>
        <v>1797.1021753735533</v>
      </c>
      <c r="BN31" s="6">
        <f>IFERROR(VLOOKUP(H31,index_logic!$A$4:$B$8,2,FALSE),0)</f>
        <v>30</v>
      </c>
      <c r="BO31" s="6">
        <f>IFERROR(VLOOKUP(AD31,index_logic!$D$4:$E$21,2,FALSE),0)</f>
        <v>12</v>
      </c>
      <c r="BP31" s="6">
        <f>IFERROR(VLOOKUP(AM31,index_logic!$G$4:$H$6,2,FALSE),0)</f>
        <v>10</v>
      </c>
      <c r="BQ31" s="6">
        <f>IFERROR(VLOOKUP(AH31,index_logic!$J$4:$K$6,2,FALSE),0)</f>
        <v>15</v>
      </c>
      <c r="BR31" s="6">
        <f>IFERROR(VLOOKUP(BE31,index_logic!$M$4:$N$7,2,FALSE),0)</f>
        <v>10</v>
      </c>
      <c r="BS31" s="6">
        <f>IFERROR(VLOOKUP(BL31,index_logic!$P$4:$Q$9,2,TRUE),0)</f>
        <v>5</v>
      </c>
      <c r="BT31" s="6">
        <f>IFERROR(VLOOKUP(BM31,index_logic!$S$4:$T$9,2,TRUE),0)</f>
        <v>6</v>
      </c>
      <c r="BU31" s="6">
        <f t="shared" si="3"/>
        <v>88</v>
      </c>
      <c r="BV31" t="str">
        <f t="shared" si="4"/>
        <v>Very High</v>
      </c>
    </row>
    <row r="32" spans="1:74" x14ac:dyDescent="0.2">
      <c r="A32" t="s">
        <v>392</v>
      </c>
      <c r="B32" t="s">
        <v>393</v>
      </c>
      <c r="C32">
        <v>2026</v>
      </c>
      <c r="D32" t="s">
        <v>99</v>
      </c>
      <c r="E32">
        <v>0</v>
      </c>
      <c r="F32" t="s">
        <v>100</v>
      </c>
      <c r="G32" t="s">
        <v>4</v>
      </c>
      <c r="H32" t="s">
        <v>101</v>
      </c>
      <c r="I32" t="s">
        <v>102</v>
      </c>
      <c r="J32" t="s">
        <v>103</v>
      </c>
      <c r="K32">
        <v>0</v>
      </c>
      <c r="L32">
        <v>0</v>
      </c>
      <c r="M32">
        <v>0</v>
      </c>
      <c r="N32">
        <v>0</v>
      </c>
      <c r="O32" t="s">
        <v>104</v>
      </c>
      <c r="P32">
        <v>0</v>
      </c>
      <c r="Q32">
        <v>0</v>
      </c>
      <c r="R32">
        <v>0</v>
      </c>
      <c r="U32" t="s">
        <v>101</v>
      </c>
      <c r="V32">
        <v>0</v>
      </c>
      <c r="X32" t="s">
        <v>105</v>
      </c>
      <c r="Y32" t="s">
        <v>105</v>
      </c>
      <c r="Z32" t="s">
        <v>105</v>
      </c>
      <c r="AA32" t="s">
        <v>106</v>
      </c>
      <c r="AB32" t="s">
        <v>106</v>
      </c>
      <c r="AC32" t="s">
        <v>107</v>
      </c>
      <c r="AD32" t="s">
        <v>105</v>
      </c>
      <c r="AE32" t="s">
        <v>105</v>
      </c>
      <c r="AF32" t="s">
        <v>105</v>
      </c>
      <c r="AG32" t="s">
        <v>105</v>
      </c>
      <c r="AH32" t="s">
        <v>131</v>
      </c>
      <c r="AI32" t="s">
        <v>131</v>
      </c>
      <c r="AJ32" t="s">
        <v>131</v>
      </c>
      <c r="AK32" t="s">
        <v>131</v>
      </c>
      <c r="AL32" t="s">
        <v>131</v>
      </c>
      <c r="AM32" t="s">
        <v>113</v>
      </c>
      <c r="AN32" t="s">
        <v>116</v>
      </c>
      <c r="AO32" t="s">
        <v>115</v>
      </c>
      <c r="AP32" t="s">
        <v>116</v>
      </c>
      <c r="AQ32" t="s">
        <v>117</v>
      </c>
      <c r="AR32" t="s">
        <v>118</v>
      </c>
      <c r="AS32" t="s">
        <v>119</v>
      </c>
      <c r="AT32" t="s">
        <v>120</v>
      </c>
      <c r="AU32" t="s">
        <v>121</v>
      </c>
      <c r="AV32">
        <v>0</v>
      </c>
      <c r="AW32">
        <v>0</v>
      </c>
      <c r="AX32">
        <v>0</v>
      </c>
      <c r="AY32" s="6">
        <f t="shared" si="0"/>
        <v>37</v>
      </c>
      <c r="AZ32">
        <v>2</v>
      </c>
      <c r="BA32">
        <v>571</v>
      </c>
      <c r="BB32">
        <v>2130256</v>
      </c>
      <c r="BC32" t="s">
        <v>177</v>
      </c>
      <c r="BD32" t="s">
        <v>178</v>
      </c>
      <c r="BE32" t="s">
        <v>133</v>
      </c>
      <c r="BF32" t="s">
        <v>125</v>
      </c>
      <c r="BG32" s="1" t="s">
        <v>16</v>
      </c>
      <c r="BH32" s="1" t="s">
        <v>134</v>
      </c>
      <c r="BI32" t="s">
        <v>127</v>
      </c>
      <c r="BJ32" t="s">
        <v>619</v>
      </c>
      <c r="BK32" t="s">
        <v>128</v>
      </c>
      <c r="BL32" s="7">
        <f t="shared" si="1"/>
        <v>0.9388542973238897</v>
      </c>
      <c r="BM32" s="7">
        <f t="shared" si="2"/>
        <v>268.04290188597048</v>
      </c>
      <c r="BN32" s="6">
        <f>IFERROR(VLOOKUP(H32,index_logic!$A$4:$B$8,2,FALSE),0)</f>
        <v>0</v>
      </c>
      <c r="BO32" s="6">
        <f>IFERROR(VLOOKUP(AD32,index_logic!$D$4:$E$21,2,FALSE),0)</f>
        <v>3</v>
      </c>
      <c r="BP32" s="6">
        <f>IFERROR(VLOOKUP(AM32,index_logic!$G$4:$H$6,2,FALSE),0)</f>
        <v>3</v>
      </c>
      <c r="BQ32" s="6">
        <f>IFERROR(VLOOKUP(AH32,index_logic!$J$4:$K$6,2,FALSE),0)</f>
        <v>15</v>
      </c>
      <c r="BR32" s="6">
        <f>IFERROR(VLOOKUP(BE32,index_logic!$M$4:$N$7,2,FALSE),0)</f>
        <v>10</v>
      </c>
      <c r="BS32" s="6">
        <f>IFERROR(VLOOKUP(BL32,index_logic!$P$4:$Q$9,2,TRUE),0)</f>
        <v>4</v>
      </c>
      <c r="BT32" s="6">
        <f>IFERROR(VLOOKUP(BM32,index_logic!$S$4:$T$9,2,TRUE),0)</f>
        <v>2</v>
      </c>
      <c r="BU32" s="6">
        <f t="shared" si="3"/>
        <v>37</v>
      </c>
      <c r="BV32" t="str">
        <f t="shared" si="4"/>
        <v>Low</v>
      </c>
    </row>
    <row r="33" spans="1:74" x14ac:dyDescent="0.2">
      <c r="A33" t="s">
        <v>394</v>
      </c>
      <c r="B33" t="s">
        <v>395</v>
      </c>
      <c r="C33">
        <v>2026</v>
      </c>
      <c r="D33" t="s">
        <v>142</v>
      </c>
      <c r="E33">
        <v>2020</v>
      </c>
      <c r="F33" t="s">
        <v>100</v>
      </c>
      <c r="G33" t="s">
        <v>4</v>
      </c>
      <c r="H33" t="s">
        <v>143</v>
      </c>
      <c r="I33" t="s">
        <v>396</v>
      </c>
      <c r="J33" t="s">
        <v>397</v>
      </c>
      <c r="K33" t="s">
        <v>398</v>
      </c>
      <c r="L33" t="s">
        <v>399</v>
      </c>
      <c r="M33" t="s">
        <v>146</v>
      </c>
      <c r="N33" t="s">
        <v>114</v>
      </c>
      <c r="O33" t="s">
        <v>114</v>
      </c>
      <c r="P33" t="s">
        <v>146</v>
      </c>
      <c r="Q33" t="s">
        <v>146</v>
      </c>
      <c r="R33" t="s">
        <v>104</v>
      </c>
      <c r="S33" t="s">
        <v>400</v>
      </c>
      <c r="T33" t="s">
        <v>400</v>
      </c>
      <c r="U33" t="s">
        <v>101</v>
      </c>
      <c r="V33">
        <v>0</v>
      </c>
      <c r="W33" t="s">
        <v>104</v>
      </c>
      <c r="X33" t="s">
        <v>107</v>
      </c>
      <c r="Y33" t="s">
        <v>401</v>
      </c>
      <c r="Z33" t="s">
        <v>151</v>
      </c>
      <c r="AA33" t="s">
        <v>402</v>
      </c>
      <c r="AB33" t="s">
        <v>151</v>
      </c>
      <c r="AC33" t="s">
        <v>403</v>
      </c>
      <c r="AD33" t="s">
        <v>404</v>
      </c>
      <c r="AE33" t="s">
        <v>404</v>
      </c>
      <c r="AF33" t="s">
        <v>174</v>
      </c>
      <c r="AG33" t="s">
        <v>405</v>
      </c>
      <c r="AH33" t="s">
        <v>131</v>
      </c>
      <c r="AI33" t="s">
        <v>131</v>
      </c>
      <c r="AJ33" t="s">
        <v>131</v>
      </c>
      <c r="AK33" t="s">
        <v>131</v>
      </c>
      <c r="AL33" t="s">
        <v>131</v>
      </c>
      <c r="AM33" t="s">
        <v>175</v>
      </c>
      <c r="AN33" t="s">
        <v>114</v>
      </c>
      <c r="AO33" t="s">
        <v>114</v>
      </c>
      <c r="AP33" t="s">
        <v>116</v>
      </c>
      <c r="AQ33" t="s">
        <v>176</v>
      </c>
      <c r="AR33" t="s">
        <v>118</v>
      </c>
      <c r="AS33" t="s">
        <v>119</v>
      </c>
      <c r="AT33" t="s">
        <v>120</v>
      </c>
      <c r="AU33" t="s">
        <v>121</v>
      </c>
      <c r="AV33">
        <v>2019</v>
      </c>
      <c r="AW33">
        <v>2020</v>
      </c>
      <c r="AX33">
        <v>0</v>
      </c>
      <c r="AY33" s="6">
        <f t="shared" si="0"/>
        <v>88</v>
      </c>
      <c r="AZ33">
        <v>28</v>
      </c>
      <c r="BA33">
        <v>29218</v>
      </c>
      <c r="BB33">
        <v>19867248</v>
      </c>
      <c r="BC33" t="s">
        <v>177</v>
      </c>
      <c r="BD33" t="s">
        <v>178</v>
      </c>
      <c r="BE33" t="s">
        <v>133</v>
      </c>
      <c r="BF33" t="s">
        <v>406</v>
      </c>
      <c r="BG33" s="1" t="s">
        <v>407</v>
      </c>
      <c r="BH33" s="1" t="s">
        <v>408</v>
      </c>
      <c r="BI33" t="s">
        <v>409</v>
      </c>
      <c r="BJ33" t="s">
        <v>619</v>
      </c>
      <c r="BK33" t="s">
        <v>128</v>
      </c>
      <c r="BL33" s="7">
        <f t="shared" si="1"/>
        <v>1.4093547329755989</v>
      </c>
      <c r="BM33" s="7">
        <f t="shared" si="2"/>
        <v>1470.6616638600374</v>
      </c>
      <c r="BN33" s="6">
        <f>IFERROR(VLOOKUP(H33,index_logic!$A$4:$B$8,2,FALSE),0)</f>
        <v>30</v>
      </c>
      <c r="BO33" s="6">
        <f>IFERROR(VLOOKUP(AD33,index_logic!$D$4:$E$21,2,FALSE),0)</f>
        <v>12</v>
      </c>
      <c r="BP33" s="6">
        <f>IFERROR(VLOOKUP(AM33,index_logic!$G$4:$H$6,2,FALSE),0)</f>
        <v>10</v>
      </c>
      <c r="BQ33" s="6">
        <f>IFERROR(VLOOKUP(AH33,index_logic!$J$4:$K$6,2,FALSE),0)</f>
        <v>15</v>
      </c>
      <c r="BR33" s="6">
        <f>IFERROR(VLOOKUP(BE33,index_logic!$M$4:$N$7,2,FALSE),0)</f>
        <v>10</v>
      </c>
      <c r="BS33" s="6">
        <f>IFERROR(VLOOKUP(BL33,index_logic!$P$4:$Q$9,2,TRUE),0)</f>
        <v>5</v>
      </c>
      <c r="BT33" s="6">
        <f>IFERROR(VLOOKUP(BM33,index_logic!$S$4:$T$9,2,TRUE),0)</f>
        <v>6</v>
      </c>
      <c r="BU33" s="6">
        <f t="shared" si="3"/>
        <v>88</v>
      </c>
      <c r="BV33" t="str">
        <f t="shared" si="4"/>
        <v>Very High</v>
      </c>
    </row>
    <row r="34" spans="1:74" x14ac:dyDescent="0.2">
      <c r="A34" t="s">
        <v>410</v>
      </c>
      <c r="B34" t="s">
        <v>411</v>
      </c>
      <c r="C34">
        <v>2026</v>
      </c>
      <c r="D34" t="s">
        <v>99</v>
      </c>
      <c r="E34">
        <v>0</v>
      </c>
      <c r="F34" t="s">
        <v>100</v>
      </c>
      <c r="G34" t="s">
        <v>4</v>
      </c>
      <c r="H34" t="s">
        <v>101</v>
      </c>
      <c r="I34" t="s">
        <v>102</v>
      </c>
      <c r="J34" t="s">
        <v>103</v>
      </c>
      <c r="K34">
        <v>0</v>
      </c>
      <c r="L34">
        <v>0</v>
      </c>
      <c r="M34">
        <v>0</v>
      </c>
      <c r="N34">
        <v>0</v>
      </c>
      <c r="O34" t="s">
        <v>104</v>
      </c>
      <c r="P34">
        <v>0</v>
      </c>
      <c r="Q34">
        <v>0</v>
      </c>
      <c r="R34">
        <v>0</v>
      </c>
      <c r="U34" t="s">
        <v>101</v>
      </c>
      <c r="V34">
        <v>0</v>
      </c>
      <c r="X34" t="s">
        <v>105</v>
      </c>
      <c r="Y34" t="s">
        <v>105</v>
      </c>
      <c r="Z34" t="s">
        <v>105</v>
      </c>
      <c r="AA34" t="s">
        <v>106</v>
      </c>
      <c r="AB34" t="s">
        <v>106</v>
      </c>
      <c r="AC34" t="s">
        <v>107</v>
      </c>
      <c r="AD34" t="s">
        <v>105</v>
      </c>
      <c r="AE34" t="s">
        <v>105</v>
      </c>
      <c r="AF34" t="s">
        <v>105</v>
      </c>
      <c r="AG34" t="s">
        <v>105</v>
      </c>
      <c r="AH34" t="s">
        <v>131</v>
      </c>
      <c r="AI34" t="s">
        <v>131</v>
      </c>
      <c r="AJ34" t="s">
        <v>131</v>
      </c>
      <c r="AK34" t="s">
        <v>131</v>
      </c>
      <c r="AL34" t="s">
        <v>131</v>
      </c>
      <c r="AM34" t="s">
        <v>113</v>
      </c>
      <c r="AN34" t="s">
        <v>116</v>
      </c>
      <c r="AO34" t="s">
        <v>115</v>
      </c>
      <c r="AP34" t="s">
        <v>116</v>
      </c>
      <c r="AQ34" t="s">
        <v>117</v>
      </c>
      <c r="AR34" t="s">
        <v>118</v>
      </c>
      <c r="AS34" t="s">
        <v>119</v>
      </c>
      <c r="AT34" t="s">
        <v>120</v>
      </c>
      <c r="AU34" t="s">
        <v>121</v>
      </c>
      <c r="AV34">
        <v>0</v>
      </c>
      <c r="AW34">
        <v>0</v>
      </c>
      <c r="AX34">
        <v>0</v>
      </c>
      <c r="AY34" s="6">
        <f t="shared" ref="AY34:AY51" si="5">BU34</f>
        <v>30</v>
      </c>
      <c r="AZ34">
        <v>9</v>
      </c>
      <c r="BA34">
        <v>6170</v>
      </c>
      <c r="BB34">
        <v>11046024</v>
      </c>
      <c r="BC34" t="s">
        <v>122</v>
      </c>
      <c r="BD34" t="s">
        <v>132</v>
      </c>
      <c r="BE34" t="s">
        <v>139</v>
      </c>
      <c r="BF34" t="s">
        <v>125</v>
      </c>
      <c r="BG34" s="1" t="s">
        <v>16</v>
      </c>
      <c r="BH34" s="1" t="s">
        <v>134</v>
      </c>
      <c r="BI34" t="s">
        <v>127</v>
      </c>
      <c r="BJ34" t="s">
        <v>619</v>
      </c>
      <c r="BK34" t="s">
        <v>128</v>
      </c>
      <c r="BL34" s="7">
        <f t="shared" ref="BL34:BL51" si="6">IFERROR((AZ34/BB34)*1000000,0)</f>
        <v>0.81477280875000813</v>
      </c>
      <c r="BM34" s="7">
        <f t="shared" ref="BM34:BM51" si="7">IFERROR((BA34/BB34)*1000000,0)</f>
        <v>558.57202555417234</v>
      </c>
      <c r="BN34" s="6">
        <f>IFERROR(VLOOKUP(H34,index_logic!$A$4:$B$8,2,FALSE),0)</f>
        <v>0</v>
      </c>
      <c r="BO34" s="6">
        <f>IFERROR(VLOOKUP(AD34,index_logic!$D$4:$E$21,2,FALSE),0)</f>
        <v>3</v>
      </c>
      <c r="BP34" s="6">
        <f>IFERROR(VLOOKUP(AM34,index_logic!$G$4:$H$6,2,FALSE),0)</f>
        <v>3</v>
      </c>
      <c r="BQ34" s="6">
        <f>IFERROR(VLOOKUP(AH34,index_logic!$J$4:$K$6,2,FALSE),0)</f>
        <v>15</v>
      </c>
      <c r="BR34" s="6">
        <f>IFERROR(VLOOKUP(BE34,index_logic!$M$4:$N$7,2,FALSE),0)</f>
        <v>3</v>
      </c>
      <c r="BS34" s="6">
        <f>IFERROR(VLOOKUP(BL34,index_logic!$P$4:$Q$9,2,TRUE),0)</f>
        <v>4</v>
      </c>
      <c r="BT34" s="6">
        <f>IFERROR(VLOOKUP(BM34,index_logic!$S$4:$T$9,2,TRUE),0)</f>
        <v>2</v>
      </c>
      <c r="BU34" s="6">
        <f t="shared" ref="BU34:BU51" si="8">BN34+BO34+BP34+BQ34+BR34+BS34+BT34</f>
        <v>30</v>
      </c>
      <c r="BV34" t="str">
        <f t="shared" ref="BV34:BV51" si="9">IF(BU34&gt;=80,"Very High",IF(BU34&gt;=65,"High",IF(BU34&gt;=50,"Moderate",IF(BU34&gt;=35,"Low","Very Low"))))</f>
        <v>Very Low</v>
      </c>
    </row>
    <row r="35" spans="1:74" x14ac:dyDescent="0.2">
      <c r="A35" t="s">
        <v>412</v>
      </c>
      <c r="B35" t="s">
        <v>413</v>
      </c>
      <c r="C35">
        <v>2026</v>
      </c>
      <c r="D35" t="s">
        <v>99</v>
      </c>
      <c r="E35">
        <v>0</v>
      </c>
      <c r="F35" t="s">
        <v>100</v>
      </c>
      <c r="G35" t="s">
        <v>4</v>
      </c>
      <c r="H35" t="s">
        <v>101</v>
      </c>
      <c r="I35" t="s">
        <v>102</v>
      </c>
      <c r="J35" t="s">
        <v>103</v>
      </c>
      <c r="K35">
        <v>0</v>
      </c>
      <c r="L35">
        <v>0</v>
      </c>
      <c r="M35">
        <v>0</v>
      </c>
      <c r="N35">
        <v>0</v>
      </c>
      <c r="O35" t="s">
        <v>104</v>
      </c>
      <c r="P35">
        <v>0</v>
      </c>
      <c r="Q35">
        <v>0</v>
      </c>
      <c r="R35">
        <v>0</v>
      </c>
      <c r="U35" t="s">
        <v>101</v>
      </c>
      <c r="V35">
        <v>0</v>
      </c>
      <c r="X35" t="s">
        <v>105</v>
      </c>
      <c r="Y35" t="s">
        <v>105</v>
      </c>
      <c r="Z35" t="s">
        <v>105</v>
      </c>
      <c r="AA35" t="s">
        <v>106</v>
      </c>
      <c r="AB35" t="s">
        <v>106</v>
      </c>
      <c r="AC35" t="s">
        <v>107</v>
      </c>
      <c r="AD35" t="s">
        <v>105</v>
      </c>
      <c r="AE35" t="s">
        <v>105</v>
      </c>
      <c r="AF35" t="s">
        <v>105</v>
      </c>
      <c r="AG35" t="s">
        <v>105</v>
      </c>
      <c r="AH35" t="s">
        <v>131</v>
      </c>
      <c r="AI35" t="s">
        <v>131</v>
      </c>
      <c r="AJ35" t="s">
        <v>131</v>
      </c>
      <c r="AK35" t="s">
        <v>131</v>
      </c>
      <c r="AL35" t="s">
        <v>131</v>
      </c>
      <c r="AM35" t="s">
        <v>113</v>
      </c>
      <c r="AN35" t="s">
        <v>116</v>
      </c>
      <c r="AO35" t="s">
        <v>115</v>
      </c>
      <c r="AP35" t="s">
        <v>116</v>
      </c>
      <c r="AQ35" t="s">
        <v>117</v>
      </c>
      <c r="AR35" t="s">
        <v>118</v>
      </c>
      <c r="AS35" t="s">
        <v>119</v>
      </c>
      <c r="AT35" t="s">
        <v>120</v>
      </c>
      <c r="AU35" t="s">
        <v>121</v>
      </c>
      <c r="AV35">
        <v>0</v>
      </c>
      <c r="AW35">
        <v>0</v>
      </c>
      <c r="AX35">
        <v>0</v>
      </c>
      <c r="AY35" s="6">
        <f t="shared" si="5"/>
        <v>31</v>
      </c>
      <c r="AZ35">
        <v>1</v>
      </c>
      <c r="BA35">
        <v>457</v>
      </c>
      <c r="BB35">
        <v>796568</v>
      </c>
      <c r="BC35" t="s">
        <v>122</v>
      </c>
      <c r="BD35" t="s">
        <v>123</v>
      </c>
      <c r="BE35" t="s">
        <v>139</v>
      </c>
      <c r="BF35" t="s">
        <v>125</v>
      </c>
      <c r="BG35" s="1" t="s">
        <v>16</v>
      </c>
      <c r="BH35" s="1" t="s">
        <v>134</v>
      </c>
      <c r="BI35" t="s">
        <v>127</v>
      </c>
      <c r="BJ35" t="s">
        <v>619</v>
      </c>
      <c r="BK35" t="s">
        <v>128</v>
      </c>
      <c r="BL35" s="7">
        <f t="shared" si="6"/>
        <v>1.2553856042421991</v>
      </c>
      <c r="BM35" s="7">
        <f t="shared" si="7"/>
        <v>573.71122113868489</v>
      </c>
      <c r="BN35" s="6">
        <f>IFERROR(VLOOKUP(H35,index_logic!$A$4:$B$8,2,FALSE),0)</f>
        <v>0</v>
      </c>
      <c r="BO35" s="6">
        <f>IFERROR(VLOOKUP(AD35,index_logic!$D$4:$E$21,2,FALSE),0)</f>
        <v>3</v>
      </c>
      <c r="BP35" s="6">
        <f>IFERROR(VLOOKUP(AM35,index_logic!$G$4:$H$6,2,FALSE),0)</f>
        <v>3</v>
      </c>
      <c r="BQ35" s="6">
        <f>IFERROR(VLOOKUP(AH35,index_logic!$J$4:$K$6,2,FALSE),0)</f>
        <v>15</v>
      </c>
      <c r="BR35" s="6">
        <f>IFERROR(VLOOKUP(BE35,index_logic!$M$4:$N$7,2,FALSE),0)</f>
        <v>3</v>
      </c>
      <c r="BS35" s="6">
        <f>IFERROR(VLOOKUP(BL35,index_logic!$P$4:$Q$9,2,TRUE),0)</f>
        <v>5</v>
      </c>
      <c r="BT35" s="6">
        <f>IFERROR(VLOOKUP(BM35,index_logic!$S$4:$T$9,2,TRUE),0)</f>
        <v>2</v>
      </c>
      <c r="BU35" s="6">
        <f t="shared" si="8"/>
        <v>31</v>
      </c>
      <c r="BV35" t="str">
        <f t="shared" si="9"/>
        <v>Very Low</v>
      </c>
    </row>
    <row r="36" spans="1:74" x14ac:dyDescent="0.2">
      <c r="A36" t="s">
        <v>414</v>
      </c>
      <c r="B36" t="s">
        <v>415</v>
      </c>
      <c r="C36">
        <v>2026</v>
      </c>
      <c r="D36" t="s">
        <v>142</v>
      </c>
      <c r="E36">
        <v>1997</v>
      </c>
      <c r="F36" t="s">
        <v>100</v>
      </c>
      <c r="G36" t="s">
        <v>4</v>
      </c>
      <c r="H36" t="s">
        <v>137</v>
      </c>
      <c r="I36" t="s">
        <v>416</v>
      </c>
      <c r="J36" t="s">
        <v>417</v>
      </c>
      <c r="K36" t="s">
        <v>146</v>
      </c>
      <c r="L36" t="s">
        <v>146</v>
      </c>
      <c r="M36" t="s">
        <v>146</v>
      </c>
      <c r="N36" t="s">
        <v>116</v>
      </c>
      <c r="O36" t="s">
        <v>104</v>
      </c>
      <c r="P36" t="s">
        <v>146</v>
      </c>
      <c r="Q36" t="s">
        <v>146</v>
      </c>
      <c r="R36" t="s">
        <v>104</v>
      </c>
      <c r="S36" t="s">
        <v>104</v>
      </c>
      <c r="T36" t="s">
        <v>104</v>
      </c>
      <c r="U36" t="s">
        <v>101</v>
      </c>
      <c r="V36">
        <v>0</v>
      </c>
      <c r="W36" t="s">
        <v>104</v>
      </c>
      <c r="X36" t="s">
        <v>349</v>
      </c>
      <c r="Y36" t="s">
        <v>350</v>
      </c>
      <c r="Z36" t="s">
        <v>351</v>
      </c>
      <c r="AA36" t="s">
        <v>151</v>
      </c>
      <c r="AB36" t="s">
        <v>151</v>
      </c>
      <c r="AC36" t="s">
        <v>107</v>
      </c>
      <c r="AD36" t="s">
        <v>349</v>
      </c>
      <c r="AE36" t="s">
        <v>349</v>
      </c>
      <c r="AF36" t="s">
        <v>349</v>
      </c>
      <c r="AG36" t="s">
        <v>349</v>
      </c>
      <c r="AH36" t="s">
        <v>131</v>
      </c>
      <c r="AI36" t="s">
        <v>131</v>
      </c>
      <c r="AJ36" t="s">
        <v>131</v>
      </c>
      <c r="AK36" t="s">
        <v>131</v>
      </c>
      <c r="AL36" t="s">
        <v>131</v>
      </c>
      <c r="AM36" t="s">
        <v>175</v>
      </c>
      <c r="AN36" t="s">
        <v>114</v>
      </c>
      <c r="AO36" t="s">
        <v>114</v>
      </c>
      <c r="AP36" t="s">
        <v>222</v>
      </c>
      <c r="AQ36" t="s">
        <v>176</v>
      </c>
      <c r="AR36" t="s">
        <v>118</v>
      </c>
      <c r="AS36" t="s">
        <v>119</v>
      </c>
      <c r="AT36" t="s">
        <v>120</v>
      </c>
      <c r="AU36" t="s">
        <v>121</v>
      </c>
      <c r="AV36">
        <v>1997</v>
      </c>
      <c r="AW36">
        <v>2026</v>
      </c>
      <c r="AX36">
        <v>0</v>
      </c>
      <c r="AY36" s="6">
        <f t="shared" si="5"/>
        <v>59</v>
      </c>
      <c r="AZ36">
        <v>10</v>
      </c>
      <c r="BA36">
        <v>6517</v>
      </c>
      <c r="BB36">
        <v>11883304</v>
      </c>
      <c r="BC36" t="s">
        <v>122</v>
      </c>
      <c r="BD36" t="s">
        <v>123</v>
      </c>
      <c r="BE36" t="s">
        <v>133</v>
      </c>
      <c r="BF36" t="s">
        <v>418</v>
      </c>
      <c r="BG36" s="1" t="s">
        <v>419</v>
      </c>
      <c r="BH36" s="1" t="s">
        <v>134</v>
      </c>
      <c r="BI36" t="s">
        <v>420</v>
      </c>
      <c r="BJ36" t="s">
        <v>619</v>
      </c>
      <c r="BK36" t="s">
        <v>128</v>
      </c>
      <c r="BL36" s="7">
        <f t="shared" si="6"/>
        <v>0.84151680374414384</v>
      </c>
      <c r="BM36" s="7">
        <f t="shared" si="7"/>
        <v>548.41650100005847</v>
      </c>
      <c r="BN36" s="6">
        <f>IFERROR(VLOOKUP(H36,index_logic!$A$4:$B$8,2,FALSE),0)</f>
        <v>12</v>
      </c>
      <c r="BO36" s="6">
        <f>IFERROR(VLOOKUP(AD36,index_logic!$D$4:$E$21,2,FALSE),0)</f>
        <v>6</v>
      </c>
      <c r="BP36" s="6">
        <f>IFERROR(VLOOKUP(AM36,index_logic!$G$4:$H$6,2,FALSE),0)</f>
        <v>10</v>
      </c>
      <c r="BQ36" s="6">
        <f>IFERROR(VLOOKUP(AH36,index_logic!$J$4:$K$6,2,FALSE),0)</f>
        <v>15</v>
      </c>
      <c r="BR36" s="6">
        <f>IFERROR(VLOOKUP(BE36,index_logic!$M$4:$N$7,2,FALSE),0)</f>
        <v>10</v>
      </c>
      <c r="BS36" s="6">
        <f>IFERROR(VLOOKUP(BL36,index_logic!$P$4:$Q$9,2,TRUE),0)</f>
        <v>4</v>
      </c>
      <c r="BT36" s="6">
        <f>IFERROR(VLOOKUP(BM36,index_logic!$S$4:$T$9,2,TRUE),0)</f>
        <v>2</v>
      </c>
      <c r="BU36" s="6">
        <f t="shared" si="8"/>
        <v>59</v>
      </c>
      <c r="BV36" t="str">
        <f t="shared" si="9"/>
        <v>Moderate</v>
      </c>
    </row>
    <row r="37" spans="1:74" x14ac:dyDescent="0.2">
      <c r="A37" t="s">
        <v>421</v>
      </c>
      <c r="B37" t="s">
        <v>422</v>
      </c>
      <c r="C37">
        <v>2026</v>
      </c>
      <c r="D37" t="s">
        <v>142</v>
      </c>
      <c r="E37">
        <v>0</v>
      </c>
      <c r="F37" t="s">
        <v>100</v>
      </c>
      <c r="G37" t="s">
        <v>4</v>
      </c>
      <c r="H37" t="s">
        <v>229</v>
      </c>
      <c r="I37" t="s">
        <v>230</v>
      </c>
      <c r="J37" t="s">
        <v>231</v>
      </c>
      <c r="K37">
        <v>0</v>
      </c>
      <c r="L37">
        <v>0</v>
      </c>
      <c r="M37">
        <v>0</v>
      </c>
      <c r="N37">
        <v>0</v>
      </c>
      <c r="O37" t="s">
        <v>114</v>
      </c>
      <c r="P37">
        <v>0</v>
      </c>
      <c r="Q37">
        <v>0</v>
      </c>
      <c r="R37">
        <v>0</v>
      </c>
      <c r="U37" t="s">
        <v>101</v>
      </c>
      <c r="V37">
        <v>0</v>
      </c>
      <c r="X37" t="s">
        <v>233</v>
      </c>
      <c r="Y37" t="s">
        <v>233</v>
      </c>
      <c r="Z37" t="s">
        <v>233</v>
      </c>
      <c r="AA37" t="s">
        <v>106</v>
      </c>
      <c r="AB37" t="s">
        <v>106</v>
      </c>
      <c r="AC37" t="s">
        <v>107</v>
      </c>
      <c r="AD37" t="s">
        <v>233</v>
      </c>
      <c r="AE37" t="s">
        <v>233</v>
      </c>
      <c r="AF37" t="s">
        <v>233</v>
      </c>
      <c r="AG37" t="s">
        <v>233</v>
      </c>
      <c r="AH37" t="s">
        <v>131</v>
      </c>
      <c r="AI37" t="s">
        <v>131</v>
      </c>
      <c r="AJ37" t="s">
        <v>131</v>
      </c>
      <c r="AK37" t="s">
        <v>131</v>
      </c>
      <c r="AL37" t="s">
        <v>131</v>
      </c>
      <c r="AM37" t="s">
        <v>113</v>
      </c>
      <c r="AN37" t="s">
        <v>114</v>
      </c>
      <c r="AO37" t="s">
        <v>137</v>
      </c>
      <c r="AP37" t="s">
        <v>222</v>
      </c>
      <c r="AQ37" t="s">
        <v>138</v>
      </c>
      <c r="AR37" t="s">
        <v>118</v>
      </c>
      <c r="AS37" t="s">
        <v>119</v>
      </c>
      <c r="AT37" t="s">
        <v>120</v>
      </c>
      <c r="AU37" t="s">
        <v>121</v>
      </c>
      <c r="AV37">
        <v>0</v>
      </c>
      <c r="AW37">
        <v>0</v>
      </c>
      <c r="AX37">
        <v>0</v>
      </c>
      <c r="AY37" s="6">
        <f t="shared" si="5"/>
        <v>30</v>
      </c>
      <c r="AZ37">
        <v>3</v>
      </c>
      <c r="BA37">
        <v>1183</v>
      </c>
      <c r="BB37">
        <v>4095393</v>
      </c>
      <c r="BC37" t="s">
        <v>122</v>
      </c>
      <c r="BD37" t="s">
        <v>123</v>
      </c>
      <c r="BE37" t="s">
        <v>124</v>
      </c>
      <c r="BF37" t="s">
        <v>423</v>
      </c>
      <c r="BG37" s="1" t="s">
        <v>424</v>
      </c>
      <c r="BH37" s="1" t="s">
        <v>134</v>
      </c>
      <c r="BI37" t="s">
        <v>425</v>
      </c>
      <c r="BJ37" t="s">
        <v>619</v>
      </c>
      <c r="BK37" t="s">
        <v>128</v>
      </c>
      <c r="BL37" s="7">
        <f t="shared" si="6"/>
        <v>0.73253043114543592</v>
      </c>
      <c r="BM37" s="7">
        <f t="shared" si="7"/>
        <v>288.86116668168353</v>
      </c>
      <c r="BN37" s="6">
        <f>IFERROR(VLOOKUP(H37,index_logic!$A$4:$B$8,2,FALSE),0)</f>
        <v>4</v>
      </c>
      <c r="BO37" s="6">
        <f>IFERROR(VLOOKUP(AD37,index_logic!$D$4:$E$21,2,FALSE),0)</f>
        <v>3</v>
      </c>
      <c r="BP37" s="6">
        <f>IFERROR(VLOOKUP(AM37,index_logic!$G$4:$H$6,2,FALSE),0)</f>
        <v>3</v>
      </c>
      <c r="BQ37" s="6">
        <f>IFERROR(VLOOKUP(AH37,index_logic!$J$4:$K$6,2,FALSE),0)</f>
        <v>15</v>
      </c>
      <c r="BR37" s="6">
        <f>IFERROR(VLOOKUP(BE37,index_logic!$M$4:$N$7,2,FALSE),0)</f>
        <v>0</v>
      </c>
      <c r="BS37" s="6">
        <f>IFERROR(VLOOKUP(BL37,index_logic!$P$4:$Q$9,2,TRUE),0)</f>
        <v>3</v>
      </c>
      <c r="BT37" s="6">
        <f>IFERROR(VLOOKUP(BM37,index_logic!$S$4:$T$9,2,TRUE),0)</f>
        <v>2</v>
      </c>
      <c r="BU37" s="6">
        <f t="shared" si="8"/>
        <v>30</v>
      </c>
      <c r="BV37" t="str">
        <f t="shared" si="9"/>
        <v>Very Low</v>
      </c>
    </row>
    <row r="38" spans="1:74" x14ac:dyDescent="0.2">
      <c r="A38" t="s">
        <v>426</v>
      </c>
      <c r="B38" t="s">
        <v>427</v>
      </c>
      <c r="C38">
        <v>2026</v>
      </c>
      <c r="D38" t="s">
        <v>99</v>
      </c>
      <c r="E38">
        <v>0</v>
      </c>
      <c r="F38" t="s">
        <v>100</v>
      </c>
      <c r="G38" t="s">
        <v>4</v>
      </c>
      <c r="H38" t="s">
        <v>101</v>
      </c>
      <c r="I38" t="s">
        <v>102</v>
      </c>
      <c r="J38" t="s">
        <v>103</v>
      </c>
      <c r="K38">
        <v>0</v>
      </c>
      <c r="L38">
        <v>0</v>
      </c>
      <c r="M38">
        <v>0</v>
      </c>
      <c r="N38">
        <v>0</v>
      </c>
      <c r="O38" t="s">
        <v>104</v>
      </c>
      <c r="P38">
        <v>0</v>
      </c>
      <c r="Q38">
        <v>0</v>
      </c>
      <c r="R38">
        <v>0</v>
      </c>
      <c r="U38" t="s">
        <v>101</v>
      </c>
      <c r="V38">
        <v>0</v>
      </c>
      <c r="X38" t="s">
        <v>105</v>
      </c>
      <c r="Y38" t="s">
        <v>105</v>
      </c>
      <c r="Z38" t="s">
        <v>105</v>
      </c>
      <c r="AA38" t="s">
        <v>106</v>
      </c>
      <c r="AB38" t="s">
        <v>106</v>
      </c>
      <c r="AC38" t="s">
        <v>107</v>
      </c>
      <c r="AD38" t="s">
        <v>105</v>
      </c>
      <c r="AE38" t="s">
        <v>105</v>
      </c>
      <c r="AF38" t="s">
        <v>105</v>
      </c>
      <c r="AG38" t="s">
        <v>105</v>
      </c>
      <c r="AH38" t="s">
        <v>131</v>
      </c>
      <c r="AI38" t="s">
        <v>131</v>
      </c>
      <c r="AJ38" t="s">
        <v>131</v>
      </c>
      <c r="AK38" t="s">
        <v>131</v>
      </c>
      <c r="AL38" t="s">
        <v>131</v>
      </c>
      <c r="AM38" t="s">
        <v>113</v>
      </c>
      <c r="AN38" t="s">
        <v>116</v>
      </c>
      <c r="AO38" t="s">
        <v>115</v>
      </c>
      <c r="AP38" t="s">
        <v>114</v>
      </c>
      <c r="AQ38" t="s">
        <v>117</v>
      </c>
      <c r="AR38" t="s">
        <v>118</v>
      </c>
      <c r="AS38" t="s">
        <v>119</v>
      </c>
      <c r="AT38" t="s">
        <v>120</v>
      </c>
      <c r="AU38" t="s">
        <v>121</v>
      </c>
      <c r="AV38">
        <v>0</v>
      </c>
      <c r="AW38">
        <v>0</v>
      </c>
      <c r="AX38">
        <v>0</v>
      </c>
      <c r="AY38" s="6">
        <f t="shared" si="5"/>
        <v>37</v>
      </c>
      <c r="AZ38">
        <v>4</v>
      </c>
      <c r="BA38">
        <v>2460</v>
      </c>
      <c r="BB38">
        <v>4272371</v>
      </c>
      <c r="BC38" t="s">
        <v>156</v>
      </c>
      <c r="BD38" t="s">
        <v>178</v>
      </c>
      <c r="BE38" t="s">
        <v>133</v>
      </c>
      <c r="BF38" t="s">
        <v>125</v>
      </c>
      <c r="BG38" s="1" t="s">
        <v>16</v>
      </c>
      <c r="BH38" s="1" t="s">
        <v>134</v>
      </c>
      <c r="BI38" t="s">
        <v>127</v>
      </c>
      <c r="BJ38" t="s">
        <v>619</v>
      </c>
      <c r="BK38" t="s">
        <v>128</v>
      </c>
      <c r="BL38" s="7">
        <f t="shared" si="6"/>
        <v>0.93624827993636317</v>
      </c>
      <c r="BM38" s="7">
        <f t="shared" si="7"/>
        <v>575.79269216086334</v>
      </c>
      <c r="BN38" s="6">
        <f>IFERROR(VLOOKUP(H38,index_logic!$A$4:$B$8,2,FALSE),0)</f>
        <v>0</v>
      </c>
      <c r="BO38" s="6">
        <f>IFERROR(VLOOKUP(AD38,index_logic!$D$4:$E$21,2,FALSE),0)</f>
        <v>3</v>
      </c>
      <c r="BP38" s="6">
        <f>IFERROR(VLOOKUP(AM38,index_logic!$G$4:$H$6,2,FALSE),0)</f>
        <v>3</v>
      </c>
      <c r="BQ38" s="6">
        <f>IFERROR(VLOOKUP(AH38,index_logic!$J$4:$K$6,2,FALSE),0)</f>
        <v>15</v>
      </c>
      <c r="BR38" s="6">
        <f>IFERROR(VLOOKUP(BE38,index_logic!$M$4:$N$7,2,FALSE),0)</f>
        <v>10</v>
      </c>
      <c r="BS38" s="6">
        <f>IFERROR(VLOOKUP(BL38,index_logic!$P$4:$Q$9,2,TRUE),0)</f>
        <v>4</v>
      </c>
      <c r="BT38" s="6">
        <f>IFERROR(VLOOKUP(BM38,index_logic!$S$4:$T$9,2,TRUE),0)</f>
        <v>2</v>
      </c>
      <c r="BU38" s="6">
        <f t="shared" si="8"/>
        <v>37</v>
      </c>
      <c r="BV38" t="str">
        <f t="shared" si="9"/>
        <v>Low</v>
      </c>
    </row>
    <row r="39" spans="1:74" x14ac:dyDescent="0.2">
      <c r="A39" t="s">
        <v>428</v>
      </c>
      <c r="B39" t="s">
        <v>429</v>
      </c>
      <c r="C39">
        <v>2026</v>
      </c>
      <c r="D39" t="s">
        <v>99</v>
      </c>
      <c r="E39">
        <v>0</v>
      </c>
      <c r="F39" t="s">
        <v>100</v>
      </c>
      <c r="G39" t="s">
        <v>4</v>
      </c>
      <c r="H39" t="s">
        <v>101</v>
      </c>
      <c r="I39" t="s">
        <v>102</v>
      </c>
      <c r="J39" t="s">
        <v>103</v>
      </c>
      <c r="K39">
        <v>0</v>
      </c>
      <c r="L39">
        <v>0</v>
      </c>
      <c r="M39">
        <v>0</v>
      </c>
      <c r="N39">
        <v>0</v>
      </c>
      <c r="O39" t="s">
        <v>104</v>
      </c>
      <c r="P39">
        <v>0</v>
      </c>
      <c r="Q39">
        <v>0</v>
      </c>
      <c r="R39">
        <v>0</v>
      </c>
      <c r="U39" t="s">
        <v>101</v>
      </c>
      <c r="V39">
        <v>0</v>
      </c>
      <c r="X39" t="s">
        <v>105</v>
      </c>
      <c r="Y39" t="s">
        <v>105</v>
      </c>
      <c r="Z39" t="s">
        <v>105</v>
      </c>
      <c r="AA39" t="s">
        <v>106</v>
      </c>
      <c r="AB39" t="s">
        <v>106</v>
      </c>
      <c r="AC39" t="s">
        <v>107</v>
      </c>
      <c r="AD39" t="s">
        <v>105</v>
      </c>
      <c r="AE39" t="s">
        <v>105</v>
      </c>
      <c r="AF39" t="s">
        <v>105</v>
      </c>
      <c r="AG39" t="s">
        <v>105</v>
      </c>
      <c r="AH39" t="s">
        <v>131</v>
      </c>
      <c r="AI39" t="s">
        <v>131</v>
      </c>
      <c r="AJ39" t="s">
        <v>131</v>
      </c>
      <c r="AK39" t="s">
        <v>131</v>
      </c>
      <c r="AL39" t="s">
        <v>131</v>
      </c>
      <c r="AM39" t="s">
        <v>113</v>
      </c>
      <c r="AN39" t="s">
        <v>116</v>
      </c>
      <c r="AO39" t="s">
        <v>115</v>
      </c>
      <c r="AP39" t="s">
        <v>116</v>
      </c>
      <c r="AQ39" t="s">
        <v>117</v>
      </c>
      <c r="AR39" t="s">
        <v>118</v>
      </c>
      <c r="AS39" t="s">
        <v>119</v>
      </c>
      <c r="AT39" t="s">
        <v>120</v>
      </c>
      <c r="AU39" t="s">
        <v>121</v>
      </c>
      <c r="AV39">
        <v>0</v>
      </c>
      <c r="AW39">
        <v>0</v>
      </c>
      <c r="AX39">
        <v>0</v>
      </c>
      <c r="AY39" s="6">
        <f t="shared" si="5"/>
        <v>34</v>
      </c>
      <c r="AZ39">
        <v>14</v>
      </c>
      <c r="BA39">
        <v>8931</v>
      </c>
      <c r="BB39">
        <v>13078751</v>
      </c>
      <c r="BC39" t="s">
        <v>177</v>
      </c>
      <c r="BD39" t="s">
        <v>132</v>
      </c>
      <c r="BE39" t="s">
        <v>278</v>
      </c>
      <c r="BF39" t="s">
        <v>125</v>
      </c>
      <c r="BG39" s="1" t="s">
        <v>16</v>
      </c>
      <c r="BH39" s="1" t="s">
        <v>134</v>
      </c>
      <c r="BI39" t="s">
        <v>127</v>
      </c>
      <c r="BJ39" t="s">
        <v>619</v>
      </c>
      <c r="BK39" t="s">
        <v>128</v>
      </c>
      <c r="BL39" s="7">
        <f t="shared" si="6"/>
        <v>1.0704386068669707</v>
      </c>
      <c r="BM39" s="7">
        <f t="shared" si="7"/>
        <v>682.86337128063678</v>
      </c>
      <c r="BN39" s="6">
        <f>IFERROR(VLOOKUP(H39,index_logic!$A$4:$B$8,2,FALSE),0)</f>
        <v>0</v>
      </c>
      <c r="BO39" s="6">
        <f>IFERROR(VLOOKUP(AD39,index_logic!$D$4:$E$21,2,FALSE),0)</f>
        <v>3</v>
      </c>
      <c r="BP39" s="6">
        <f>IFERROR(VLOOKUP(AM39,index_logic!$G$4:$H$6,2,FALSE),0)</f>
        <v>3</v>
      </c>
      <c r="BQ39" s="6">
        <f>IFERROR(VLOOKUP(AH39,index_logic!$J$4:$K$6,2,FALSE),0)</f>
        <v>15</v>
      </c>
      <c r="BR39" s="6">
        <f>IFERROR(VLOOKUP(BE39,index_logic!$M$4:$N$7,2,FALSE),0)</f>
        <v>7</v>
      </c>
      <c r="BS39" s="6">
        <f>IFERROR(VLOOKUP(BL39,index_logic!$P$4:$Q$9,2,TRUE),0)</f>
        <v>4</v>
      </c>
      <c r="BT39" s="6">
        <f>IFERROR(VLOOKUP(BM39,index_logic!$S$4:$T$9,2,TRUE),0)</f>
        <v>2</v>
      </c>
      <c r="BU39" s="6">
        <f t="shared" si="8"/>
        <v>34</v>
      </c>
      <c r="BV39" t="str">
        <f t="shared" si="9"/>
        <v>Very Low</v>
      </c>
    </row>
    <row r="40" spans="1:74" x14ac:dyDescent="0.2">
      <c r="A40" t="s">
        <v>430</v>
      </c>
      <c r="B40" t="s">
        <v>431</v>
      </c>
      <c r="C40">
        <v>2026</v>
      </c>
      <c r="D40" t="s">
        <v>142</v>
      </c>
      <c r="E40">
        <v>1989</v>
      </c>
      <c r="F40" t="s">
        <v>100</v>
      </c>
      <c r="G40" t="s">
        <v>4</v>
      </c>
      <c r="H40" t="s">
        <v>143</v>
      </c>
      <c r="I40" t="s">
        <v>432</v>
      </c>
      <c r="J40" t="s">
        <v>433</v>
      </c>
      <c r="K40" t="s">
        <v>146</v>
      </c>
      <c r="L40" t="s">
        <v>434</v>
      </c>
      <c r="M40" t="s">
        <v>314</v>
      </c>
      <c r="N40" t="s">
        <v>146</v>
      </c>
      <c r="O40" t="s">
        <v>114</v>
      </c>
      <c r="P40" t="s">
        <v>146</v>
      </c>
      <c r="Q40" t="s">
        <v>146</v>
      </c>
      <c r="R40" t="s">
        <v>435</v>
      </c>
      <c r="S40" t="s">
        <v>104</v>
      </c>
      <c r="T40" t="s">
        <v>104</v>
      </c>
      <c r="U40" t="s">
        <v>101</v>
      </c>
      <c r="V40">
        <v>0</v>
      </c>
      <c r="W40" t="s">
        <v>104</v>
      </c>
      <c r="X40" t="s">
        <v>171</v>
      </c>
      <c r="Y40" t="s">
        <v>436</v>
      </c>
      <c r="Z40" t="s">
        <v>151</v>
      </c>
      <c r="AA40" t="s">
        <v>437</v>
      </c>
      <c r="AB40" t="s">
        <v>151</v>
      </c>
      <c r="AC40" t="s">
        <v>438</v>
      </c>
      <c r="AD40" t="s">
        <v>439</v>
      </c>
      <c r="AE40" t="s">
        <v>440</v>
      </c>
      <c r="AF40" t="s">
        <v>441</v>
      </c>
      <c r="AG40" t="s">
        <v>107</v>
      </c>
      <c r="AH40" t="s">
        <v>131</v>
      </c>
      <c r="AI40" t="s">
        <v>131</v>
      </c>
      <c r="AJ40" t="s">
        <v>131</v>
      </c>
      <c r="AK40" t="s">
        <v>131</v>
      </c>
      <c r="AL40" t="s">
        <v>131</v>
      </c>
      <c r="AM40" t="s">
        <v>175</v>
      </c>
      <c r="AN40" t="s">
        <v>114</v>
      </c>
      <c r="AO40" t="s">
        <v>114</v>
      </c>
      <c r="AP40" t="s">
        <v>116</v>
      </c>
      <c r="AQ40" t="s">
        <v>176</v>
      </c>
      <c r="AR40" t="s">
        <v>118</v>
      </c>
      <c r="AS40" t="s">
        <v>119</v>
      </c>
      <c r="AT40" t="s">
        <v>120</v>
      </c>
      <c r="AU40" t="s">
        <v>121</v>
      </c>
      <c r="AV40">
        <v>1989</v>
      </c>
      <c r="AW40">
        <v>2018</v>
      </c>
      <c r="AX40">
        <v>0</v>
      </c>
      <c r="AY40" s="6">
        <f t="shared" si="5"/>
        <v>83</v>
      </c>
      <c r="AZ40">
        <v>1</v>
      </c>
      <c r="BA40">
        <v>1004</v>
      </c>
      <c r="BB40">
        <v>1112308</v>
      </c>
      <c r="BC40" t="s">
        <v>177</v>
      </c>
      <c r="BD40" t="s">
        <v>178</v>
      </c>
      <c r="BE40" t="s">
        <v>133</v>
      </c>
      <c r="BF40" t="s">
        <v>442</v>
      </c>
      <c r="BG40" s="1" t="s">
        <v>443</v>
      </c>
      <c r="BH40" s="1" t="s">
        <v>444</v>
      </c>
      <c r="BI40" t="s">
        <v>445</v>
      </c>
      <c r="BJ40" t="s">
        <v>619</v>
      </c>
      <c r="BK40" t="s">
        <v>128</v>
      </c>
      <c r="BL40" s="7">
        <f t="shared" si="6"/>
        <v>0.8990315632001209</v>
      </c>
      <c r="BM40" s="7">
        <f t="shared" si="7"/>
        <v>902.62768945292135</v>
      </c>
      <c r="BN40" s="6">
        <f>IFERROR(VLOOKUP(H40,index_logic!$A$4:$B$8,2,FALSE),0)</f>
        <v>30</v>
      </c>
      <c r="BO40" s="6">
        <f>IFERROR(VLOOKUP(AD40,index_logic!$D$4:$E$21,2,FALSE),0)</f>
        <v>10</v>
      </c>
      <c r="BP40" s="6">
        <f>IFERROR(VLOOKUP(AM40,index_logic!$G$4:$H$6,2,FALSE),0)</f>
        <v>10</v>
      </c>
      <c r="BQ40" s="6">
        <f>IFERROR(VLOOKUP(AH40,index_logic!$J$4:$K$6,2,FALSE),0)</f>
        <v>15</v>
      </c>
      <c r="BR40" s="6">
        <f>IFERROR(VLOOKUP(BE40,index_logic!$M$4:$N$7,2,FALSE),0)</f>
        <v>10</v>
      </c>
      <c r="BS40" s="6">
        <f>IFERROR(VLOOKUP(BL40,index_logic!$P$4:$Q$9,2,TRUE),0)</f>
        <v>4</v>
      </c>
      <c r="BT40" s="6">
        <f>IFERROR(VLOOKUP(BM40,index_logic!$S$4:$T$9,2,TRUE),0)</f>
        <v>4</v>
      </c>
      <c r="BU40" s="6">
        <f t="shared" si="8"/>
        <v>83</v>
      </c>
      <c r="BV40" t="str">
        <f t="shared" si="9"/>
        <v>Very High</v>
      </c>
    </row>
    <row r="41" spans="1:74" x14ac:dyDescent="0.2">
      <c r="A41" t="s">
        <v>446</v>
      </c>
      <c r="B41" t="s">
        <v>447</v>
      </c>
      <c r="C41">
        <v>2026</v>
      </c>
      <c r="D41" t="s">
        <v>99</v>
      </c>
      <c r="E41">
        <v>0</v>
      </c>
      <c r="F41" t="s">
        <v>100</v>
      </c>
      <c r="G41" t="s">
        <v>4</v>
      </c>
      <c r="H41" t="s">
        <v>101</v>
      </c>
      <c r="I41" t="s">
        <v>102</v>
      </c>
      <c r="J41" t="s">
        <v>103</v>
      </c>
      <c r="K41">
        <v>0</v>
      </c>
      <c r="L41">
        <v>0</v>
      </c>
      <c r="M41">
        <v>0</v>
      </c>
      <c r="N41">
        <v>0</v>
      </c>
      <c r="O41" t="s">
        <v>104</v>
      </c>
      <c r="P41">
        <v>0</v>
      </c>
      <c r="Q41">
        <v>0</v>
      </c>
      <c r="R41">
        <v>0</v>
      </c>
      <c r="U41" t="s">
        <v>101</v>
      </c>
      <c r="V41">
        <v>0</v>
      </c>
      <c r="X41" t="s">
        <v>105</v>
      </c>
      <c r="Y41" t="s">
        <v>105</v>
      </c>
      <c r="Z41" t="s">
        <v>105</v>
      </c>
      <c r="AA41" t="s">
        <v>106</v>
      </c>
      <c r="AB41" t="s">
        <v>106</v>
      </c>
      <c r="AC41" t="s">
        <v>107</v>
      </c>
      <c r="AD41" t="s">
        <v>105</v>
      </c>
      <c r="AE41" t="s">
        <v>105</v>
      </c>
      <c r="AF41" t="s">
        <v>105</v>
      </c>
      <c r="AG41" t="s">
        <v>105</v>
      </c>
      <c r="AH41" t="s">
        <v>131</v>
      </c>
      <c r="AI41" t="s">
        <v>131</v>
      </c>
      <c r="AJ41" t="s">
        <v>131</v>
      </c>
      <c r="AK41" t="s">
        <v>131</v>
      </c>
      <c r="AL41" t="s">
        <v>131</v>
      </c>
      <c r="AM41" t="s">
        <v>113</v>
      </c>
      <c r="AN41" t="s">
        <v>116</v>
      </c>
      <c r="AO41" t="s">
        <v>115</v>
      </c>
      <c r="AP41" t="s">
        <v>116</v>
      </c>
      <c r="AQ41" t="s">
        <v>117</v>
      </c>
      <c r="AR41" t="s">
        <v>118</v>
      </c>
      <c r="AS41" t="s">
        <v>119</v>
      </c>
      <c r="AT41" t="s">
        <v>120</v>
      </c>
      <c r="AU41" t="s">
        <v>121</v>
      </c>
      <c r="AV41">
        <v>0</v>
      </c>
      <c r="AW41">
        <v>0</v>
      </c>
      <c r="AX41">
        <v>0</v>
      </c>
      <c r="AY41" s="6">
        <f t="shared" si="5"/>
        <v>30</v>
      </c>
      <c r="AZ41">
        <v>5</v>
      </c>
      <c r="BA41">
        <v>3198</v>
      </c>
      <c r="BB41">
        <v>5478831</v>
      </c>
      <c r="BC41" t="s">
        <v>122</v>
      </c>
      <c r="BD41" t="s">
        <v>123</v>
      </c>
      <c r="BE41" t="s">
        <v>139</v>
      </c>
      <c r="BF41" t="s">
        <v>125</v>
      </c>
      <c r="BG41" s="1" t="s">
        <v>16</v>
      </c>
      <c r="BH41" s="1" t="s">
        <v>134</v>
      </c>
      <c r="BI41" t="s">
        <v>127</v>
      </c>
      <c r="BJ41" t="s">
        <v>619</v>
      </c>
      <c r="BK41" t="s">
        <v>128</v>
      </c>
      <c r="BL41" s="7">
        <f t="shared" si="6"/>
        <v>0.91260343675503042</v>
      </c>
      <c r="BM41" s="7">
        <f t="shared" si="7"/>
        <v>583.70115814851749</v>
      </c>
      <c r="BN41" s="6">
        <f>IFERROR(VLOOKUP(H41,index_logic!$A$4:$B$8,2,FALSE),0)</f>
        <v>0</v>
      </c>
      <c r="BO41" s="6">
        <f>IFERROR(VLOOKUP(AD41,index_logic!$D$4:$E$21,2,FALSE),0)</f>
        <v>3</v>
      </c>
      <c r="BP41" s="6">
        <f>IFERROR(VLOOKUP(AM41,index_logic!$G$4:$H$6,2,FALSE),0)</f>
        <v>3</v>
      </c>
      <c r="BQ41" s="6">
        <f>IFERROR(VLOOKUP(AH41,index_logic!$J$4:$K$6,2,FALSE),0)</f>
        <v>15</v>
      </c>
      <c r="BR41" s="6">
        <f>IFERROR(VLOOKUP(BE41,index_logic!$M$4:$N$7,2,FALSE),0)</f>
        <v>3</v>
      </c>
      <c r="BS41" s="6">
        <f>IFERROR(VLOOKUP(BL41,index_logic!$P$4:$Q$9,2,TRUE),0)</f>
        <v>4</v>
      </c>
      <c r="BT41" s="6">
        <f>IFERROR(VLOOKUP(BM41,index_logic!$S$4:$T$9,2,TRUE),0)</f>
        <v>2</v>
      </c>
      <c r="BU41" s="6">
        <f t="shared" si="8"/>
        <v>30</v>
      </c>
      <c r="BV41" t="str">
        <f t="shared" si="9"/>
        <v>Very Low</v>
      </c>
    </row>
    <row r="42" spans="1:74" x14ac:dyDescent="0.2">
      <c r="A42" t="s">
        <v>448</v>
      </c>
      <c r="B42" t="s">
        <v>449</v>
      </c>
      <c r="C42">
        <v>2026</v>
      </c>
      <c r="D42" t="s">
        <v>99</v>
      </c>
      <c r="E42">
        <v>0</v>
      </c>
      <c r="F42" t="s">
        <v>100</v>
      </c>
      <c r="G42" t="s">
        <v>4</v>
      </c>
      <c r="H42" t="s">
        <v>101</v>
      </c>
      <c r="I42" t="s">
        <v>102</v>
      </c>
      <c r="J42" t="s">
        <v>103</v>
      </c>
      <c r="K42">
        <v>0</v>
      </c>
      <c r="L42">
        <v>0</v>
      </c>
      <c r="M42">
        <v>0</v>
      </c>
      <c r="N42">
        <v>0</v>
      </c>
      <c r="O42" t="s">
        <v>104</v>
      </c>
      <c r="P42">
        <v>0</v>
      </c>
      <c r="Q42">
        <v>0</v>
      </c>
      <c r="R42">
        <v>0</v>
      </c>
      <c r="U42" t="s">
        <v>101</v>
      </c>
      <c r="V42">
        <v>0</v>
      </c>
      <c r="X42" t="s">
        <v>105</v>
      </c>
      <c r="Y42" t="s">
        <v>105</v>
      </c>
      <c r="Z42" t="s">
        <v>105</v>
      </c>
      <c r="AA42" t="s">
        <v>106</v>
      </c>
      <c r="AB42" t="s">
        <v>106</v>
      </c>
      <c r="AC42" t="s">
        <v>107</v>
      </c>
      <c r="AD42" t="s">
        <v>105</v>
      </c>
      <c r="AE42" t="s">
        <v>105</v>
      </c>
      <c r="AF42" t="s">
        <v>105</v>
      </c>
      <c r="AG42" t="s">
        <v>105</v>
      </c>
      <c r="AH42" t="s">
        <v>131</v>
      </c>
      <c r="AI42" t="s">
        <v>131</v>
      </c>
      <c r="AJ42" t="s">
        <v>131</v>
      </c>
      <c r="AK42" t="s">
        <v>131</v>
      </c>
      <c r="AL42" t="s">
        <v>131</v>
      </c>
      <c r="AM42" t="s">
        <v>113</v>
      </c>
      <c r="AN42" t="s">
        <v>116</v>
      </c>
      <c r="AO42" t="s">
        <v>115</v>
      </c>
      <c r="AP42" t="s">
        <v>116</v>
      </c>
      <c r="AQ42" t="s">
        <v>117</v>
      </c>
      <c r="AR42" t="s">
        <v>118</v>
      </c>
      <c r="AS42" t="s">
        <v>119</v>
      </c>
      <c r="AT42" t="s">
        <v>120</v>
      </c>
      <c r="AU42" t="s">
        <v>121</v>
      </c>
      <c r="AV42">
        <v>0</v>
      </c>
      <c r="AW42">
        <v>0</v>
      </c>
      <c r="AX42">
        <v>0</v>
      </c>
      <c r="AY42" s="6">
        <f t="shared" si="5"/>
        <v>27</v>
      </c>
      <c r="AZ42">
        <v>1</v>
      </c>
      <c r="BA42">
        <v>385</v>
      </c>
      <c r="BB42">
        <v>924669</v>
      </c>
      <c r="BC42" t="s">
        <v>122</v>
      </c>
      <c r="BD42" t="s">
        <v>123</v>
      </c>
      <c r="BE42" t="s">
        <v>124</v>
      </c>
      <c r="BF42" t="s">
        <v>125</v>
      </c>
      <c r="BG42" s="1" t="s">
        <v>16</v>
      </c>
      <c r="BH42" s="1" t="s">
        <v>134</v>
      </c>
      <c r="BI42" t="s">
        <v>127</v>
      </c>
      <c r="BJ42" t="s">
        <v>619</v>
      </c>
      <c r="BK42" t="s">
        <v>128</v>
      </c>
      <c r="BL42" s="7">
        <f t="shared" si="6"/>
        <v>1.0814680712773976</v>
      </c>
      <c r="BM42" s="7">
        <f t="shared" si="7"/>
        <v>416.36520744179808</v>
      </c>
      <c r="BN42" s="6">
        <f>IFERROR(VLOOKUP(H42,index_logic!$A$4:$B$8,2,FALSE),0)</f>
        <v>0</v>
      </c>
      <c r="BO42" s="6">
        <f>IFERROR(VLOOKUP(AD42,index_logic!$D$4:$E$21,2,FALSE),0)</f>
        <v>3</v>
      </c>
      <c r="BP42" s="6">
        <f>IFERROR(VLOOKUP(AM42,index_logic!$G$4:$H$6,2,FALSE),0)</f>
        <v>3</v>
      </c>
      <c r="BQ42" s="6">
        <f>IFERROR(VLOOKUP(AH42,index_logic!$J$4:$K$6,2,FALSE),0)</f>
        <v>15</v>
      </c>
      <c r="BR42" s="6">
        <f>IFERROR(VLOOKUP(BE42,index_logic!$M$4:$N$7,2,FALSE),0)</f>
        <v>0</v>
      </c>
      <c r="BS42" s="6">
        <f>IFERROR(VLOOKUP(BL42,index_logic!$P$4:$Q$9,2,TRUE),0)</f>
        <v>4</v>
      </c>
      <c r="BT42" s="6">
        <f>IFERROR(VLOOKUP(BM42,index_logic!$S$4:$T$9,2,TRUE),0)</f>
        <v>2</v>
      </c>
      <c r="BU42" s="6">
        <f t="shared" si="8"/>
        <v>27</v>
      </c>
      <c r="BV42" t="str">
        <f t="shared" si="9"/>
        <v>Very Low</v>
      </c>
    </row>
    <row r="43" spans="1:74" x14ac:dyDescent="0.2">
      <c r="A43" t="s">
        <v>450</v>
      </c>
      <c r="B43" t="s">
        <v>451</v>
      </c>
      <c r="C43">
        <v>2026</v>
      </c>
      <c r="D43" t="s">
        <v>99</v>
      </c>
      <c r="E43">
        <v>0</v>
      </c>
      <c r="F43" t="s">
        <v>100</v>
      </c>
      <c r="G43" t="s">
        <v>4</v>
      </c>
      <c r="H43" t="s">
        <v>101</v>
      </c>
      <c r="I43" t="s">
        <v>102</v>
      </c>
      <c r="J43" t="s">
        <v>103</v>
      </c>
      <c r="K43">
        <v>0</v>
      </c>
      <c r="L43">
        <v>0</v>
      </c>
      <c r="M43">
        <v>0</v>
      </c>
      <c r="N43">
        <v>0</v>
      </c>
      <c r="O43" t="s">
        <v>104</v>
      </c>
      <c r="P43">
        <v>0</v>
      </c>
      <c r="Q43">
        <v>0</v>
      </c>
      <c r="R43">
        <v>0</v>
      </c>
      <c r="U43" t="s">
        <v>101</v>
      </c>
      <c r="V43">
        <v>0</v>
      </c>
      <c r="X43" t="s">
        <v>105</v>
      </c>
      <c r="Y43" t="s">
        <v>105</v>
      </c>
      <c r="Z43" t="s">
        <v>105</v>
      </c>
      <c r="AA43" t="s">
        <v>106</v>
      </c>
      <c r="AB43" t="s">
        <v>106</v>
      </c>
      <c r="AC43" t="s">
        <v>107</v>
      </c>
      <c r="AD43" t="s">
        <v>105</v>
      </c>
      <c r="AE43" t="s">
        <v>105</v>
      </c>
      <c r="AF43" t="s">
        <v>105</v>
      </c>
      <c r="AG43" t="s">
        <v>105</v>
      </c>
      <c r="AH43" t="s">
        <v>131</v>
      </c>
      <c r="AI43" t="s">
        <v>131</v>
      </c>
      <c r="AJ43" t="s">
        <v>131</v>
      </c>
      <c r="AK43" t="s">
        <v>131</v>
      </c>
      <c r="AL43" t="s">
        <v>131</v>
      </c>
      <c r="AM43" t="s">
        <v>113</v>
      </c>
      <c r="AN43" t="s">
        <v>114</v>
      </c>
      <c r="AO43" t="s">
        <v>137</v>
      </c>
      <c r="AP43" t="s">
        <v>116</v>
      </c>
      <c r="AQ43" t="s">
        <v>138</v>
      </c>
      <c r="AR43" t="s">
        <v>118</v>
      </c>
      <c r="AS43" t="s">
        <v>119</v>
      </c>
      <c r="AT43" t="s">
        <v>120</v>
      </c>
      <c r="AU43" t="s">
        <v>121</v>
      </c>
      <c r="AV43">
        <v>0</v>
      </c>
      <c r="AW43">
        <v>0</v>
      </c>
      <c r="AX43">
        <v>0</v>
      </c>
      <c r="AY43" s="6">
        <f t="shared" si="5"/>
        <v>27</v>
      </c>
      <c r="AZ43">
        <v>6</v>
      </c>
      <c r="BA43">
        <v>3110</v>
      </c>
      <c r="BB43">
        <v>7227750</v>
      </c>
      <c r="BC43" t="s">
        <v>122</v>
      </c>
      <c r="BD43" t="s">
        <v>123</v>
      </c>
      <c r="BE43" t="s">
        <v>124</v>
      </c>
      <c r="BF43" t="s">
        <v>125</v>
      </c>
      <c r="BG43" s="1" t="s">
        <v>16</v>
      </c>
      <c r="BH43" s="1" t="s">
        <v>134</v>
      </c>
      <c r="BI43" t="s">
        <v>127</v>
      </c>
      <c r="BJ43" t="s">
        <v>619</v>
      </c>
      <c r="BK43" t="s">
        <v>128</v>
      </c>
      <c r="BL43" s="7">
        <f t="shared" si="6"/>
        <v>0.83013385908477744</v>
      </c>
      <c r="BM43" s="7">
        <f t="shared" si="7"/>
        <v>430.28605029227629</v>
      </c>
      <c r="BN43" s="6">
        <f>IFERROR(VLOOKUP(H43,index_logic!$A$4:$B$8,2,FALSE),0)</f>
        <v>0</v>
      </c>
      <c r="BO43" s="6">
        <f>IFERROR(VLOOKUP(AD43,index_logic!$D$4:$E$21,2,FALSE),0)</f>
        <v>3</v>
      </c>
      <c r="BP43" s="6">
        <f>IFERROR(VLOOKUP(AM43,index_logic!$G$4:$H$6,2,FALSE),0)</f>
        <v>3</v>
      </c>
      <c r="BQ43" s="6">
        <f>IFERROR(VLOOKUP(AH43,index_logic!$J$4:$K$6,2,FALSE),0)</f>
        <v>15</v>
      </c>
      <c r="BR43" s="6">
        <f>IFERROR(VLOOKUP(BE43,index_logic!$M$4:$N$7,2,FALSE),0)</f>
        <v>0</v>
      </c>
      <c r="BS43" s="6">
        <f>IFERROR(VLOOKUP(BL43,index_logic!$P$4:$Q$9,2,TRUE),0)</f>
        <v>4</v>
      </c>
      <c r="BT43" s="6">
        <f>IFERROR(VLOOKUP(BM43,index_logic!$S$4:$T$9,2,TRUE),0)</f>
        <v>2</v>
      </c>
      <c r="BU43" s="6">
        <f t="shared" si="8"/>
        <v>27</v>
      </c>
      <c r="BV43" t="str">
        <f t="shared" si="9"/>
        <v>Very Low</v>
      </c>
    </row>
    <row r="44" spans="1:74" x14ac:dyDescent="0.2">
      <c r="A44" t="s">
        <v>452</v>
      </c>
      <c r="B44" t="s">
        <v>453</v>
      </c>
      <c r="C44">
        <v>2026</v>
      </c>
      <c r="D44" t="s">
        <v>142</v>
      </c>
      <c r="E44">
        <v>1987</v>
      </c>
      <c r="F44" t="s">
        <v>100</v>
      </c>
      <c r="G44" t="s">
        <v>4</v>
      </c>
      <c r="H44" t="s">
        <v>143</v>
      </c>
      <c r="I44" t="s">
        <v>454</v>
      </c>
      <c r="J44" t="s">
        <v>455</v>
      </c>
      <c r="K44" t="s">
        <v>146</v>
      </c>
      <c r="L44" t="s">
        <v>146</v>
      </c>
      <c r="M44" t="s">
        <v>146</v>
      </c>
      <c r="N44" t="s">
        <v>146</v>
      </c>
      <c r="O44" t="s">
        <v>114</v>
      </c>
      <c r="P44" t="s">
        <v>146</v>
      </c>
      <c r="Q44" t="s">
        <v>146</v>
      </c>
      <c r="R44" t="s">
        <v>114</v>
      </c>
      <c r="S44" t="s">
        <v>456</v>
      </c>
      <c r="T44" t="s">
        <v>104</v>
      </c>
      <c r="U44" t="s">
        <v>101</v>
      </c>
      <c r="V44">
        <v>0</v>
      </c>
      <c r="W44" t="s">
        <v>104</v>
      </c>
      <c r="X44" t="s">
        <v>457</v>
      </c>
      <c r="Y44" t="s">
        <v>458</v>
      </c>
      <c r="Z44" t="s">
        <v>459</v>
      </c>
      <c r="AA44" t="s">
        <v>151</v>
      </c>
      <c r="AB44" t="s">
        <v>151</v>
      </c>
      <c r="AC44" t="s">
        <v>107</v>
      </c>
      <c r="AD44" t="s">
        <v>460</v>
      </c>
      <c r="AE44" t="s">
        <v>461</v>
      </c>
      <c r="AF44" t="s">
        <v>462</v>
      </c>
      <c r="AG44" t="s">
        <v>463</v>
      </c>
      <c r="AH44" t="s">
        <v>131</v>
      </c>
      <c r="AI44" t="s">
        <v>131</v>
      </c>
      <c r="AJ44" t="s">
        <v>131</v>
      </c>
      <c r="AK44" t="s">
        <v>131</v>
      </c>
      <c r="AL44" t="s">
        <v>131</v>
      </c>
      <c r="AM44" t="s">
        <v>113</v>
      </c>
      <c r="AN44" t="s">
        <v>234</v>
      </c>
      <c r="AO44" t="s">
        <v>137</v>
      </c>
      <c r="AP44" t="s">
        <v>222</v>
      </c>
      <c r="AQ44" t="s">
        <v>138</v>
      </c>
      <c r="AR44" t="s">
        <v>118</v>
      </c>
      <c r="AS44" t="s">
        <v>119</v>
      </c>
      <c r="AT44" t="s">
        <v>120</v>
      </c>
      <c r="AU44" t="s">
        <v>121</v>
      </c>
      <c r="AV44">
        <v>1987</v>
      </c>
      <c r="AW44">
        <v>2024</v>
      </c>
      <c r="AX44">
        <v>0</v>
      </c>
      <c r="AY44" s="6">
        <f t="shared" si="5"/>
        <v>54</v>
      </c>
      <c r="AZ44">
        <v>29</v>
      </c>
      <c r="BA44">
        <v>20856</v>
      </c>
      <c r="BB44">
        <v>31290831</v>
      </c>
      <c r="BC44" t="s">
        <v>122</v>
      </c>
      <c r="BD44" t="s">
        <v>123</v>
      </c>
      <c r="BE44" t="s">
        <v>124</v>
      </c>
      <c r="BF44" t="s">
        <v>464</v>
      </c>
      <c r="BG44" s="1" t="s">
        <v>465</v>
      </c>
      <c r="BH44" s="1" t="s">
        <v>466</v>
      </c>
      <c r="BI44" t="s">
        <v>467</v>
      </c>
      <c r="BJ44" t="s">
        <v>619</v>
      </c>
      <c r="BK44" t="s">
        <v>128</v>
      </c>
      <c r="BL44" s="7">
        <f t="shared" si="6"/>
        <v>0.92678906482221579</v>
      </c>
      <c r="BM44" s="7">
        <f t="shared" si="7"/>
        <v>666.52112882524591</v>
      </c>
      <c r="BN44" s="6">
        <f>IFERROR(VLOOKUP(H44,index_logic!$A$4:$B$8,2,FALSE),0)</f>
        <v>30</v>
      </c>
      <c r="BO44" s="6">
        <f>IFERROR(VLOOKUP(AD44,index_logic!$D$4:$E$21,2,FALSE),0)</f>
        <v>0</v>
      </c>
      <c r="BP44" s="6">
        <f>IFERROR(VLOOKUP(AM44,index_logic!$G$4:$H$6,2,FALSE),0)</f>
        <v>3</v>
      </c>
      <c r="BQ44" s="6">
        <f>IFERROR(VLOOKUP(AH44,index_logic!$J$4:$K$6,2,FALSE),0)</f>
        <v>15</v>
      </c>
      <c r="BR44" s="6">
        <f>IFERROR(VLOOKUP(BE44,index_logic!$M$4:$N$7,2,FALSE),0)</f>
        <v>0</v>
      </c>
      <c r="BS44" s="6">
        <f>IFERROR(VLOOKUP(BL44,index_logic!$P$4:$Q$9,2,TRUE),0)</f>
        <v>4</v>
      </c>
      <c r="BT44" s="6">
        <f>IFERROR(VLOOKUP(BM44,index_logic!$S$4:$T$9,2,TRUE),0)</f>
        <v>2</v>
      </c>
      <c r="BU44" s="6">
        <f t="shared" si="8"/>
        <v>54</v>
      </c>
      <c r="BV44" t="str">
        <f t="shared" si="9"/>
        <v>Moderate</v>
      </c>
    </row>
    <row r="45" spans="1:74" x14ac:dyDescent="0.2">
      <c r="A45" t="s">
        <v>468</v>
      </c>
      <c r="B45" t="s">
        <v>469</v>
      </c>
      <c r="C45">
        <v>2026</v>
      </c>
      <c r="D45" t="s">
        <v>142</v>
      </c>
      <c r="E45">
        <v>0</v>
      </c>
      <c r="F45" t="s">
        <v>100</v>
      </c>
      <c r="G45" t="s">
        <v>4</v>
      </c>
      <c r="H45" t="s">
        <v>229</v>
      </c>
      <c r="I45" t="s">
        <v>230</v>
      </c>
      <c r="J45" t="s">
        <v>231</v>
      </c>
      <c r="K45">
        <v>0</v>
      </c>
      <c r="L45">
        <v>0</v>
      </c>
      <c r="M45">
        <v>0</v>
      </c>
      <c r="N45">
        <v>0</v>
      </c>
      <c r="O45" t="s">
        <v>114</v>
      </c>
      <c r="P45">
        <v>0</v>
      </c>
      <c r="Q45">
        <v>0</v>
      </c>
      <c r="R45">
        <v>0</v>
      </c>
      <c r="S45" t="s">
        <v>104</v>
      </c>
      <c r="T45" t="s">
        <v>231</v>
      </c>
      <c r="U45" t="s">
        <v>101</v>
      </c>
      <c r="V45">
        <v>0</v>
      </c>
      <c r="W45" t="s">
        <v>470</v>
      </c>
      <c r="X45" t="s">
        <v>233</v>
      </c>
      <c r="Y45" t="s">
        <v>233</v>
      </c>
      <c r="Z45" t="s">
        <v>233</v>
      </c>
      <c r="AA45" t="s">
        <v>106</v>
      </c>
      <c r="AB45" t="s">
        <v>106</v>
      </c>
      <c r="AC45" t="s">
        <v>107</v>
      </c>
      <c r="AD45" t="s">
        <v>233</v>
      </c>
      <c r="AE45" t="s">
        <v>233</v>
      </c>
      <c r="AF45" t="s">
        <v>233</v>
      </c>
      <c r="AG45" t="s">
        <v>233</v>
      </c>
      <c r="AH45" t="s">
        <v>131</v>
      </c>
      <c r="AI45" t="s">
        <v>131</v>
      </c>
      <c r="AJ45" t="s">
        <v>131</v>
      </c>
      <c r="AK45" t="s">
        <v>131</v>
      </c>
      <c r="AL45" t="s">
        <v>131</v>
      </c>
      <c r="AM45" t="s">
        <v>113</v>
      </c>
      <c r="AN45" t="s">
        <v>114</v>
      </c>
      <c r="AO45" t="s">
        <v>137</v>
      </c>
      <c r="AP45" t="s">
        <v>222</v>
      </c>
      <c r="AQ45" t="s">
        <v>138</v>
      </c>
      <c r="AR45" t="s">
        <v>118</v>
      </c>
      <c r="AS45" t="s">
        <v>119</v>
      </c>
      <c r="AT45" t="s">
        <v>120</v>
      </c>
      <c r="AU45" t="s">
        <v>121</v>
      </c>
      <c r="AV45">
        <v>0</v>
      </c>
      <c r="AW45">
        <v>0</v>
      </c>
      <c r="AX45">
        <v>0</v>
      </c>
      <c r="AY45" s="6">
        <f t="shared" si="5"/>
        <v>36</v>
      </c>
      <c r="AZ45">
        <v>4</v>
      </c>
      <c r="BA45">
        <v>3143</v>
      </c>
      <c r="BB45">
        <v>3503613</v>
      </c>
      <c r="BC45" t="s">
        <v>122</v>
      </c>
      <c r="BD45" t="s">
        <v>123</v>
      </c>
      <c r="BE45" t="s">
        <v>139</v>
      </c>
      <c r="BF45" t="s">
        <v>471</v>
      </c>
      <c r="BG45" s="1" t="s">
        <v>472</v>
      </c>
      <c r="BH45" s="1" t="s">
        <v>134</v>
      </c>
      <c r="BI45" t="s">
        <v>473</v>
      </c>
      <c r="BJ45" t="s">
        <v>619</v>
      </c>
      <c r="BK45" t="s">
        <v>128</v>
      </c>
      <c r="BL45" s="7">
        <f t="shared" si="6"/>
        <v>1.1416786043435734</v>
      </c>
      <c r="BM45" s="7">
        <f t="shared" si="7"/>
        <v>897.07396336296267</v>
      </c>
      <c r="BN45" s="6">
        <f>IFERROR(VLOOKUP(H45,index_logic!$A$4:$B$8,2,FALSE),0)</f>
        <v>4</v>
      </c>
      <c r="BO45" s="6">
        <f>IFERROR(VLOOKUP(AD45,index_logic!$D$4:$E$21,2,FALSE),0)</f>
        <v>3</v>
      </c>
      <c r="BP45" s="6">
        <f>IFERROR(VLOOKUP(AM45,index_logic!$G$4:$H$6,2,FALSE),0)</f>
        <v>3</v>
      </c>
      <c r="BQ45" s="6">
        <f>IFERROR(VLOOKUP(AH45,index_logic!$J$4:$K$6,2,FALSE),0)</f>
        <v>15</v>
      </c>
      <c r="BR45" s="6">
        <f>IFERROR(VLOOKUP(BE45,index_logic!$M$4:$N$7,2,FALSE),0)</f>
        <v>3</v>
      </c>
      <c r="BS45" s="6">
        <f>IFERROR(VLOOKUP(BL45,index_logic!$P$4:$Q$9,2,TRUE),0)</f>
        <v>4</v>
      </c>
      <c r="BT45" s="6">
        <f>IFERROR(VLOOKUP(BM45,index_logic!$S$4:$T$9,2,TRUE),0)</f>
        <v>4</v>
      </c>
      <c r="BU45" s="6">
        <f t="shared" si="8"/>
        <v>36</v>
      </c>
      <c r="BV45" t="str">
        <f t="shared" si="9"/>
        <v>Low</v>
      </c>
    </row>
    <row r="46" spans="1:74" x14ac:dyDescent="0.2">
      <c r="A46" t="s">
        <v>474</v>
      </c>
      <c r="B46" t="s">
        <v>475</v>
      </c>
      <c r="C46">
        <v>2026</v>
      </c>
      <c r="D46" t="s">
        <v>99</v>
      </c>
      <c r="E46">
        <v>0</v>
      </c>
      <c r="F46" t="s">
        <v>100</v>
      </c>
      <c r="G46" t="s">
        <v>4</v>
      </c>
      <c r="H46" t="s">
        <v>101</v>
      </c>
      <c r="I46" t="s">
        <v>102</v>
      </c>
      <c r="J46" t="s">
        <v>103</v>
      </c>
      <c r="K46">
        <v>0</v>
      </c>
      <c r="L46">
        <v>0</v>
      </c>
      <c r="M46">
        <v>0</v>
      </c>
      <c r="N46">
        <v>0</v>
      </c>
      <c r="O46" t="s">
        <v>104</v>
      </c>
      <c r="P46">
        <v>0</v>
      </c>
      <c r="Q46">
        <v>0</v>
      </c>
      <c r="R46">
        <v>0</v>
      </c>
      <c r="U46" t="s">
        <v>101</v>
      </c>
      <c r="V46">
        <v>0</v>
      </c>
      <c r="X46" t="s">
        <v>105</v>
      </c>
      <c r="Y46" t="s">
        <v>105</v>
      </c>
      <c r="Z46" t="s">
        <v>105</v>
      </c>
      <c r="AA46" t="s">
        <v>106</v>
      </c>
      <c r="AB46" t="s">
        <v>106</v>
      </c>
      <c r="AC46" t="s">
        <v>107</v>
      </c>
      <c r="AD46" t="s">
        <v>105</v>
      </c>
      <c r="AE46" t="s">
        <v>105</v>
      </c>
      <c r="AF46" t="s">
        <v>105</v>
      </c>
      <c r="AG46" t="s">
        <v>105</v>
      </c>
      <c r="AH46" t="s">
        <v>131</v>
      </c>
      <c r="AI46" t="s">
        <v>131</v>
      </c>
      <c r="AJ46" t="s">
        <v>131</v>
      </c>
      <c r="AK46" t="s">
        <v>131</v>
      </c>
      <c r="AL46" t="s">
        <v>131</v>
      </c>
      <c r="AM46" t="s">
        <v>175</v>
      </c>
      <c r="AN46" t="s">
        <v>114</v>
      </c>
      <c r="AO46" t="s">
        <v>114</v>
      </c>
      <c r="AP46" t="s">
        <v>116</v>
      </c>
      <c r="AQ46" t="s">
        <v>176</v>
      </c>
      <c r="AR46" t="s">
        <v>118</v>
      </c>
      <c r="AS46" t="s">
        <v>119</v>
      </c>
      <c r="AT46" t="s">
        <v>120</v>
      </c>
      <c r="AU46" t="s">
        <v>121</v>
      </c>
      <c r="AV46">
        <v>0</v>
      </c>
      <c r="AW46">
        <v>0</v>
      </c>
      <c r="AX46">
        <v>0</v>
      </c>
      <c r="AY46" s="6">
        <f t="shared" si="5"/>
        <v>45</v>
      </c>
      <c r="AZ46">
        <v>1</v>
      </c>
      <c r="BA46">
        <v>417</v>
      </c>
      <c r="BB46">
        <v>648493</v>
      </c>
      <c r="BC46" t="s">
        <v>177</v>
      </c>
      <c r="BD46" t="s">
        <v>132</v>
      </c>
      <c r="BE46" t="s">
        <v>133</v>
      </c>
      <c r="BF46" t="s">
        <v>125</v>
      </c>
      <c r="BG46" s="1" t="s">
        <v>16</v>
      </c>
      <c r="BH46" s="1" t="s">
        <v>134</v>
      </c>
      <c r="BI46" t="s">
        <v>127</v>
      </c>
      <c r="BJ46" t="s">
        <v>619</v>
      </c>
      <c r="BK46" t="s">
        <v>128</v>
      </c>
      <c r="BL46" s="7">
        <f t="shared" si="6"/>
        <v>1.542036691221031</v>
      </c>
      <c r="BM46" s="7">
        <f t="shared" si="7"/>
        <v>643.02930023916997</v>
      </c>
      <c r="BN46" s="6">
        <f>IFERROR(VLOOKUP(H46,index_logic!$A$4:$B$8,2,FALSE),0)</f>
        <v>0</v>
      </c>
      <c r="BO46" s="6">
        <f>IFERROR(VLOOKUP(AD46,index_logic!$D$4:$E$21,2,FALSE),0)</f>
        <v>3</v>
      </c>
      <c r="BP46" s="6">
        <f>IFERROR(VLOOKUP(AM46,index_logic!$G$4:$H$6,2,FALSE),0)</f>
        <v>10</v>
      </c>
      <c r="BQ46" s="6">
        <f>IFERROR(VLOOKUP(AH46,index_logic!$J$4:$K$6,2,FALSE),0)</f>
        <v>15</v>
      </c>
      <c r="BR46" s="6">
        <f>IFERROR(VLOOKUP(BE46,index_logic!$M$4:$N$7,2,FALSE),0)</f>
        <v>10</v>
      </c>
      <c r="BS46" s="6">
        <f>IFERROR(VLOOKUP(BL46,index_logic!$P$4:$Q$9,2,TRUE),0)</f>
        <v>5</v>
      </c>
      <c r="BT46" s="6">
        <f>IFERROR(VLOOKUP(BM46,index_logic!$S$4:$T$9,2,TRUE),0)</f>
        <v>2</v>
      </c>
      <c r="BU46" s="6">
        <f t="shared" si="8"/>
        <v>45</v>
      </c>
      <c r="BV46" t="str">
        <f t="shared" si="9"/>
        <v>Low</v>
      </c>
    </row>
    <row r="47" spans="1:74" x14ac:dyDescent="0.2">
      <c r="A47" t="s">
        <v>476</v>
      </c>
      <c r="B47" t="s">
        <v>477</v>
      </c>
      <c r="C47">
        <v>2026</v>
      </c>
      <c r="D47" t="s">
        <v>99</v>
      </c>
      <c r="E47">
        <v>0</v>
      </c>
      <c r="F47" t="s">
        <v>100</v>
      </c>
      <c r="G47" t="s">
        <v>4</v>
      </c>
      <c r="H47" t="s">
        <v>101</v>
      </c>
      <c r="I47" t="s">
        <v>102</v>
      </c>
      <c r="J47" t="s">
        <v>103</v>
      </c>
      <c r="K47">
        <v>0</v>
      </c>
      <c r="L47">
        <v>0</v>
      </c>
      <c r="M47">
        <v>0</v>
      </c>
      <c r="N47">
        <v>0</v>
      </c>
      <c r="O47" t="s">
        <v>104</v>
      </c>
      <c r="P47">
        <v>0</v>
      </c>
      <c r="Q47">
        <v>0</v>
      </c>
      <c r="R47">
        <v>0</v>
      </c>
      <c r="U47" t="s">
        <v>101</v>
      </c>
      <c r="V47">
        <v>0</v>
      </c>
      <c r="X47" t="s">
        <v>105</v>
      </c>
      <c r="Y47" t="s">
        <v>105</v>
      </c>
      <c r="Z47" t="s">
        <v>105</v>
      </c>
      <c r="AA47" t="s">
        <v>106</v>
      </c>
      <c r="AB47" t="s">
        <v>106</v>
      </c>
      <c r="AC47" t="s">
        <v>107</v>
      </c>
      <c r="AD47" t="s">
        <v>105</v>
      </c>
      <c r="AE47" t="s">
        <v>105</v>
      </c>
      <c r="AF47" t="s">
        <v>105</v>
      </c>
      <c r="AG47" t="s">
        <v>105</v>
      </c>
      <c r="AH47" t="s">
        <v>131</v>
      </c>
      <c r="AI47" t="s">
        <v>131</v>
      </c>
      <c r="AJ47" t="s">
        <v>131</v>
      </c>
      <c r="AK47" t="s">
        <v>131</v>
      </c>
      <c r="AL47" t="s">
        <v>131</v>
      </c>
      <c r="AM47" t="s">
        <v>258</v>
      </c>
      <c r="AN47" t="s">
        <v>281</v>
      </c>
      <c r="AO47" t="s">
        <v>114</v>
      </c>
      <c r="AP47" t="s">
        <v>192</v>
      </c>
      <c r="AQ47" t="s">
        <v>176</v>
      </c>
      <c r="AR47" t="s">
        <v>118</v>
      </c>
      <c r="AS47" t="s">
        <v>119</v>
      </c>
      <c r="AT47" t="s">
        <v>120</v>
      </c>
      <c r="AU47" t="s">
        <v>121</v>
      </c>
      <c r="AV47">
        <v>0</v>
      </c>
      <c r="AW47">
        <v>0</v>
      </c>
      <c r="AX47">
        <v>0</v>
      </c>
      <c r="AY47" s="6">
        <f t="shared" si="5"/>
        <v>41</v>
      </c>
      <c r="AZ47">
        <v>11</v>
      </c>
      <c r="BA47">
        <v>7055</v>
      </c>
      <c r="BB47">
        <v>8811195</v>
      </c>
      <c r="BC47" t="s">
        <v>177</v>
      </c>
      <c r="BD47" t="s">
        <v>178</v>
      </c>
      <c r="BE47" t="s">
        <v>278</v>
      </c>
      <c r="BF47" t="s">
        <v>125</v>
      </c>
      <c r="BG47" s="1" t="s">
        <v>16</v>
      </c>
      <c r="BH47" s="1" t="s">
        <v>134</v>
      </c>
      <c r="BI47" t="s">
        <v>127</v>
      </c>
      <c r="BJ47" t="s">
        <v>619</v>
      </c>
      <c r="BK47" t="s">
        <v>128</v>
      </c>
      <c r="BL47" s="7">
        <f t="shared" si="6"/>
        <v>1.2484118215520144</v>
      </c>
      <c r="BM47" s="7">
        <f t="shared" si="7"/>
        <v>800.68594554995093</v>
      </c>
      <c r="BN47" s="6">
        <f>IFERROR(VLOOKUP(H47,index_logic!$A$4:$B$8,2,FALSE),0)</f>
        <v>0</v>
      </c>
      <c r="BO47" s="6">
        <f>IFERROR(VLOOKUP(AD47,index_logic!$D$4:$E$21,2,FALSE),0)</f>
        <v>3</v>
      </c>
      <c r="BP47" s="6">
        <f>IFERROR(VLOOKUP(AM47,index_logic!$G$4:$H$6,2,FALSE),0)</f>
        <v>7</v>
      </c>
      <c r="BQ47" s="6">
        <f>IFERROR(VLOOKUP(AH47,index_logic!$J$4:$K$6,2,FALSE),0)</f>
        <v>15</v>
      </c>
      <c r="BR47" s="6">
        <f>IFERROR(VLOOKUP(BE47,index_logic!$M$4:$N$7,2,FALSE),0)</f>
        <v>7</v>
      </c>
      <c r="BS47" s="6">
        <f>IFERROR(VLOOKUP(BL47,index_logic!$P$4:$Q$9,2,TRUE),0)</f>
        <v>5</v>
      </c>
      <c r="BT47" s="6">
        <f>IFERROR(VLOOKUP(BM47,index_logic!$S$4:$T$9,2,TRUE),0)</f>
        <v>4</v>
      </c>
      <c r="BU47" s="6">
        <f t="shared" si="8"/>
        <v>41</v>
      </c>
      <c r="BV47" t="str">
        <f t="shared" si="9"/>
        <v>Low</v>
      </c>
    </row>
    <row r="48" spans="1:74" x14ac:dyDescent="0.2">
      <c r="A48" t="s">
        <v>478</v>
      </c>
      <c r="B48" t="s">
        <v>479</v>
      </c>
      <c r="C48">
        <v>2026</v>
      </c>
      <c r="D48" t="s">
        <v>99</v>
      </c>
      <c r="E48">
        <v>0</v>
      </c>
      <c r="F48" t="s">
        <v>100</v>
      </c>
      <c r="G48" t="s">
        <v>4</v>
      </c>
      <c r="H48" t="s">
        <v>101</v>
      </c>
      <c r="I48" t="s">
        <v>102</v>
      </c>
      <c r="J48" t="s">
        <v>103</v>
      </c>
      <c r="K48">
        <v>0</v>
      </c>
      <c r="L48">
        <v>0</v>
      </c>
      <c r="M48">
        <v>0</v>
      </c>
      <c r="N48">
        <v>0</v>
      </c>
      <c r="O48" t="s">
        <v>104</v>
      </c>
      <c r="P48">
        <v>0</v>
      </c>
      <c r="Q48">
        <v>0</v>
      </c>
      <c r="R48">
        <v>0</v>
      </c>
      <c r="U48" t="s">
        <v>101</v>
      </c>
      <c r="V48">
        <v>0</v>
      </c>
      <c r="X48" t="s">
        <v>105</v>
      </c>
      <c r="Y48" t="s">
        <v>105</v>
      </c>
      <c r="Z48" t="s">
        <v>105</v>
      </c>
      <c r="AA48" t="s">
        <v>106</v>
      </c>
      <c r="AB48" t="s">
        <v>106</v>
      </c>
      <c r="AC48" t="s">
        <v>107</v>
      </c>
      <c r="AD48" t="s">
        <v>105</v>
      </c>
      <c r="AE48" t="s">
        <v>105</v>
      </c>
      <c r="AF48" t="s">
        <v>105</v>
      </c>
      <c r="AG48" t="s">
        <v>105</v>
      </c>
      <c r="AH48" t="s">
        <v>131</v>
      </c>
      <c r="AI48" t="s">
        <v>131</v>
      </c>
      <c r="AJ48" t="s">
        <v>131</v>
      </c>
      <c r="AK48" t="s">
        <v>131</v>
      </c>
      <c r="AL48" t="s">
        <v>131</v>
      </c>
      <c r="AM48" t="s">
        <v>175</v>
      </c>
      <c r="AN48" t="s">
        <v>114</v>
      </c>
      <c r="AO48" t="s">
        <v>114</v>
      </c>
      <c r="AP48" t="s">
        <v>192</v>
      </c>
      <c r="AQ48" t="s">
        <v>176</v>
      </c>
      <c r="AR48" t="s">
        <v>118</v>
      </c>
      <c r="AS48" t="s">
        <v>119</v>
      </c>
      <c r="AT48" t="s">
        <v>120</v>
      </c>
      <c r="AU48" t="s">
        <v>121</v>
      </c>
      <c r="AV48">
        <v>0</v>
      </c>
      <c r="AW48">
        <v>0</v>
      </c>
      <c r="AX48">
        <v>0</v>
      </c>
      <c r="AY48" s="6">
        <f t="shared" si="5"/>
        <v>45</v>
      </c>
      <c r="AZ48">
        <v>10</v>
      </c>
      <c r="BA48">
        <v>5065</v>
      </c>
      <c r="BB48">
        <v>7958180</v>
      </c>
      <c r="BC48" t="s">
        <v>177</v>
      </c>
      <c r="BD48" t="s">
        <v>178</v>
      </c>
      <c r="BE48" t="s">
        <v>133</v>
      </c>
      <c r="BF48" t="s">
        <v>125</v>
      </c>
      <c r="BG48" s="1" t="s">
        <v>16</v>
      </c>
      <c r="BH48" s="1" t="s">
        <v>134</v>
      </c>
      <c r="BI48" t="s">
        <v>127</v>
      </c>
      <c r="BJ48" t="s">
        <v>619</v>
      </c>
      <c r="BK48" t="s">
        <v>128</v>
      </c>
      <c r="BL48" s="7">
        <f t="shared" si="6"/>
        <v>1.2565687129469301</v>
      </c>
      <c r="BM48" s="7">
        <f t="shared" si="7"/>
        <v>636.45205310762015</v>
      </c>
      <c r="BN48" s="6">
        <f>IFERROR(VLOOKUP(H48,index_logic!$A$4:$B$8,2,FALSE),0)</f>
        <v>0</v>
      </c>
      <c r="BO48" s="6">
        <f>IFERROR(VLOOKUP(AD48,index_logic!$D$4:$E$21,2,FALSE),0)</f>
        <v>3</v>
      </c>
      <c r="BP48" s="6">
        <f>IFERROR(VLOOKUP(AM48,index_logic!$G$4:$H$6,2,FALSE),0)</f>
        <v>10</v>
      </c>
      <c r="BQ48" s="6">
        <f>IFERROR(VLOOKUP(AH48,index_logic!$J$4:$K$6,2,FALSE),0)</f>
        <v>15</v>
      </c>
      <c r="BR48" s="6">
        <f>IFERROR(VLOOKUP(BE48,index_logic!$M$4:$N$7,2,FALSE),0)</f>
        <v>10</v>
      </c>
      <c r="BS48" s="6">
        <f>IFERROR(VLOOKUP(BL48,index_logic!$P$4:$Q$9,2,TRUE),0)</f>
        <v>5</v>
      </c>
      <c r="BT48" s="6">
        <f>IFERROR(VLOOKUP(BM48,index_logic!$S$4:$T$9,2,TRUE),0)</f>
        <v>2</v>
      </c>
      <c r="BU48" s="6">
        <f t="shared" si="8"/>
        <v>45</v>
      </c>
      <c r="BV48" t="str">
        <f t="shared" si="9"/>
        <v>Low</v>
      </c>
    </row>
    <row r="49" spans="1:74" x14ac:dyDescent="0.2">
      <c r="A49" t="s">
        <v>480</v>
      </c>
      <c r="B49" t="s">
        <v>481</v>
      </c>
      <c r="C49">
        <v>2026</v>
      </c>
      <c r="D49" t="s">
        <v>142</v>
      </c>
      <c r="E49">
        <v>1989</v>
      </c>
      <c r="F49" t="s">
        <v>100</v>
      </c>
      <c r="G49" t="s">
        <v>4</v>
      </c>
      <c r="H49" t="s">
        <v>137</v>
      </c>
      <c r="I49" t="s">
        <v>482</v>
      </c>
      <c r="J49" t="s">
        <v>348</v>
      </c>
      <c r="K49" t="s">
        <v>146</v>
      </c>
      <c r="L49" t="s">
        <v>146</v>
      </c>
      <c r="M49" t="s">
        <v>146</v>
      </c>
      <c r="N49" t="s">
        <v>116</v>
      </c>
      <c r="O49" t="s">
        <v>104</v>
      </c>
      <c r="P49" t="s">
        <v>146</v>
      </c>
      <c r="Q49" t="s">
        <v>146</v>
      </c>
      <c r="R49" t="s">
        <v>104</v>
      </c>
      <c r="S49" t="s">
        <v>104</v>
      </c>
      <c r="T49" t="s">
        <v>104</v>
      </c>
      <c r="U49" t="s">
        <v>101</v>
      </c>
      <c r="V49">
        <v>0</v>
      </c>
      <c r="W49" t="s">
        <v>104</v>
      </c>
      <c r="X49" t="s">
        <v>349</v>
      </c>
      <c r="Y49" t="s">
        <v>350</v>
      </c>
      <c r="Z49" t="s">
        <v>351</v>
      </c>
      <c r="AA49" t="s">
        <v>151</v>
      </c>
      <c r="AB49" t="s">
        <v>151</v>
      </c>
      <c r="AC49" t="s">
        <v>107</v>
      </c>
      <c r="AD49" t="s">
        <v>349</v>
      </c>
      <c r="AE49" t="s">
        <v>349</v>
      </c>
      <c r="AF49" t="s">
        <v>349</v>
      </c>
      <c r="AG49" t="s">
        <v>349</v>
      </c>
      <c r="AH49" t="s">
        <v>131</v>
      </c>
      <c r="AI49" t="s">
        <v>131</v>
      </c>
      <c r="AJ49" t="s">
        <v>131</v>
      </c>
      <c r="AK49" t="s">
        <v>131</v>
      </c>
      <c r="AL49" t="s">
        <v>131</v>
      </c>
      <c r="AM49" t="s">
        <v>113</v>
      </c>
      <c r="AN49" t="s">
        <v>116</v>
      </c>
      <c r="AO49" t="s">
        <v>115</v>
      </c>
      <c r="AP49" t="s">
        <v>116</v>
      </c>
      <c r="AQ49" t="s">
        <v>117</v>
      </c>
      <c r="AR49" t="s">
        <v>118</v>
      </c>
      <c r="AS49" t="s">
        <v>119</v>
      </c>
      <c r="AT49" t="s">
        <v>120</v>
      </c>
      <c r="AU49" t="s">
        <v>121</v>
      </c>
      <c r="AV49">
        <v>1989</v>
      </c>
      <c r="AW49">
        <v>2026</v>
      </c>
      <c r="AX49">
        <v>0</v>
      </c>
      <c r="AY49" s="6">
        <f t="shared" si="5"/>
        <v>41</v>
      </c>
      <c r="AZ49">
        <v>1</v>
      </c>
      <c r="BA49">
        <v>613</v>
      </c>
      <c r="BB49">
        <v>1769979</v>
      </c>
      <c r="BC49" t="s">
        <v>122</v>
      </c>
      <c r="BD49" t="s">
        <v>123</v>
      </c>
      <c r="BE49" t="s">
        <v>124</v>
      </c>
      <c r="BF49" t="s">
        <v>483</v>
      </c>
      <c r="BG49" s="1" t="s">
        <v>484</v>
      </c>
      <c r="BH49" s="1" t="s">
        <v>134</v>
      </c>
      <c r="BI49" t="s">
        <v>485</v>
      </c>
      <c r="BJ49" t="s">
        <v>619</v>
      </c>
      <c r="BK49" t="s">
        <v>128</v>
      </c>
      <c r="BL49" s="7">
        <f t="shared" si="6"/>
        <v>0.56497845454663587</v>
      </c>
      <c r="BM49" s="7">
        <f t="shared" si="7"/>
        <v>346.33179263708774</v>
      </c>
      <c r="BN49" s="6">
        <f>IFERROR(VLOOKUP(H49,index_logic!$A$4:$B$8,2,FALSE),0)</f>
        <v>12</v>
      </c>
      <c r="BO49" s="6">
        <f>IFERROR(VLOOKUP(AD49,index_logic!$D$4:$E$21,2,FALSE),0)</f>
        <v>6</v>
      </c>
      <c r="BP49" s="6">
        <f>IFERROR(VLOOKUP(AM49,index_logic!$G$4:$H$6,2,FALSE),0)</f>
        <v>3</v>
      </c>
      <c r="BQ49" s="6">
        <f>IFERROR(VLOOKUP(AH49,index_logic!$J$4:$K$6,2,FALSE),0)</f>
        <v>15</v>
      </c>
      <c r="BR49" s="6">
        <f>IFERROR(VLOOKUP(BE49,index_logic!$M$4:$N$7,2,FALSE),0)</f>
        <v>0</v>
      </c>
      <c r="BS49" s="6">
        <f>IFERROR(VLOOKUP(BL49,index_logic!$P$4:$Q$9,2,TRUE),0)</f>
        <v>3</v>
      </c>
      <c r="BT49" s="6">
        <f>IFERROR(VLOOKUP(BM49,index_logic!$S$4:$T$9,2,TRUE),0)</f>
        <v>2</v>
      </c>
      <c r="BU49" s="6">
        <f t="shared" si="8"/>
        <v>41</v>
      </c>
      <c r="BV49" t="str">
        <f t="shared" si="9"/>
        <v>Low</v>
      </c>
    </row>
    <row r="50" spans="1:74" x14ac:dyDescent="0.2">
      <c r="A50" t="s">
        <v>486</v>
      </c>
      <c r="B50" t="s">
        <v>487</v>
      </c>
      <c r="C50">
        <v>2026</v>
      </c>
      <c r="D50" t="s">
        <v>99</v>
      </c>
      <c r="E50">
        <v>0</v>
      </c>
      <c r="F50" t="s">
        <v>100</v>
      </c>
      <c r="G50" t="s">
        <v>4</v>
      </c>
      <c r="H50" t="s">
        <v>101</v>
      </c>
      <c r="I50" t="s">
        <v>102</v>
      </c>
      <c r="J50" t="s">
        <v>103</v>
      </c>
      <c r="K50">
        <v>0</v>
      </c>
      <c r="L50">
        <v>0</v>
      </c>
      <c r="M50">
        <v>0</v>
      </c>
      <c r="N50">
        <v>0</v>
      </c>
      <c r="O50" t="s">
        <v>104</v>
      </c>
      <c r="P50">
        <v>0</v>
      </c>
      <c r="Q50">
        <v>0</v>
      </c>
      <c r="R50">
        <v>0</v>
      </c>
      <c r="U50" t="s">
        <v>101</v>
      </c>
      <c r="V50">
        <v>0</v>
      </c>
      <c r="X50" t="s">
        <v>105</v>
      </c>
      <c r="Y50" t="s">
        <v>105</v>
      </c>
      <c r="Z50" t="s">
        <v>105</v>
      </c>
      <c r="AA50" t="s">
        <v>106</v>
      </c>
      <c r="AB50" t="s">
        <v>106</v>
      </c>
      <c r="AC50" t="s">
        <v>107</v>
      </c>
      <c r="AD50" t="s">
        <v>105</v>
      </c>
      <c r="AE50" t="s">
        <v>105</v>
      </c>
      <c r="AF50" t="s">
        <v>105</v>
      </c>
      <c r="AG50" t="s">
        <v>105</v>
      </c>
      <c r="AH50" t="s">
        <v>131</v>
      </c>
      <c r="AI50" t="s">
        <v>131</v>
      </c>
      <c r="AJ50" t="s">
        <v>131</v>
      </c>
      <c r="AK50" t="s">
        <v>131</v>
      </c>
      <c r="AL50" t="s">
        <v>131</v>
      </c>
      <c r="AM50" t="s">
        <v>258</v>
      </c>
      <c r="AN50" t="s">
        <v>114</v>
      </c>
      <c r="AO50" t="s">
        <v>114</v>
      </c>
      <c r="AP50" t="s">
        <v>192</v>
      </c>
      <c r="AQ50" t="s">
        <v>176</v>
      </c>
      <c r="AR50" t="s">
        <v>118</v>
      </c>
      <c r="AS50" t="s">
        <v>119</v>
      </c>
      <c r="AT50" t="s">
        <v>120</v>
      </c>
      <c r="AU50" t="s">
        <v>121</v>
      </c>
      <c r="AV50">
        <v>0</v>
      </c>
      <c r="AW50">
        <v>0</v>
      </c>
      <c r="AX50">
        <v>0</v>
      </c>
      <c r="AY50" s="6">
        <f t="shared" si="5"/>
        <v>38</v>
      </c>
      <c r="AZ50">
        <v>7</v>
      </c>
      <c r="BA50">
        <v>3414</v>
      </c>
      <c r="BB50">
        <v>5960975</v>
      </c>
      <c r="BC50" t="s">
        <v>122</v>
      </c>
      <c r="BD50" t="s">
        <v>132</v>
      </c>
      <c r="BE50" t="s">
        <v>278</v>
      </c>
      <c r="BF50" t="s">
        <v>125</v>
      </c>
      <c r="BG50" s="1" t="s">
        <v>16</v>
      </c>
      <c r="BH50" s="1" t="s">
        <v>134</v>
      </c>
      <c r="BI50" t="s">
        <v>127</v>
      </c>
      <c r="BJ50" t="s">
        <v>619</v>
      </c>
      <c r="BK50" t="s">
        <v>128</v>
      </c>
      <c r="BL50" s="7">
        <f t="shared" si="6"/>
        <v>1.1743045391064382</v>
      </c>
      <c r="BM50" s="7">
        <f t="shared" si="7"/>
        <v>572.72509950133997</v>
      </c>
      <c r="BN50" s="6">
        <f>IFERROR(VLOOKUP(H50,index_logic!$A$4:$B$8,2,FALSE),0)</f>
        <v>0</v>
      </c>
      <c r="BO50" s="6">
        <f>IFERROR(VLOOKUP(AD50,index_logic!$D$4:$E$21,2,FALSE),0)</f>
        <v>3</v>
      </c>
      <c r="BP50" s="6">
        <f>IFERROR(VLOOKUP(AM50,index_logic!$G$4:$H$6,2,FALSE),0)</f>
        <v>7</v>
      </c>
      <c r="BQ50" s="6">
        <f>IFERROR(VLOOKUP(AH50,index_logic!$J$4:$K$6,2,FALSE),0)</f>
        <v>15</v>
      </c>
      <c r="BR50" s="6">
        <f>IFERROR(VLOOKUP(BE50,index_logic!$M$4:$N$7,2,FALSE),0)</f>
        <v>7</v>
      </c>
      <c r="BS50" s="6">
        <f>IFERROR(VLOOKUP(BL50,index_logic!$P$4:$Q$9,2,TRUE),0)</f>
        <v>4</v>
      </c>
      <c r="BT50" s="6">
        <f>IFERROR(VLOOKUP(BM50,index_logic!$S$4:$T$9,2,TRUE),0)</f>
        <v>2</v>
      </c>
      <c r="BU50" s="6">
        <f t="shared" si="8"/>
        <v>38</v>
      </c>
      <c r="BV50" t="str">
        <f t="shared" si="9"/>
        <v>Low</v>
      </c>
    </row>
    <row r="51" spans="1:74" x14ac:dyDescent="0.2">
      <c r="A51" t="s">
        <v>488</v>
      </c>
      <c r="B51" t="s">
        <v>489</v>
      </c>
      <c r="C51">
        <v>2026</v>
      </c>
      <c r="D51" t="s">
        <v>99</v>
      </c>
      <c r="E51">
        <v>0</v>
      </c>
      <c r="F51" t="s">
        <v>100</v>
      </c>
      <c r="G51" t="s">
        <v>4</v>
      </c>
      <c r="H51" t="s">
        <v>101</v>
      </c>
      <c r="I51" t="s">
        <v>102</v>
      </c>
      <c r="J51" t="s">
        <v>103</v>
      </c>
      <c r="K51">
        <v>0</v>
      </c>
      <c r="L51">
        <v>0</v>
      </c>
      <c r="M51">
        <v>0</v>
      </c>
      <c r="N51">
        <v>0</v>
      </c>
      <c r="O51" t="s">
        <v>104</v>
      </c>
      <c r="P51">
        <v>0</v>
      </c>
      <c r="Q51">
        <v>0</v>
      </c>
      <c r="R51">
        <v>0</v>
      </c>
      <c r="U51" t="s">
        <v>101</v>
      </c>
      <c r="V51">
        <v>0</v>
      </c>
      <c r="X51" t="s">
        <v>105</v>
      </c>
      <c r="Y51" t="s">
        <v>105</v>
      </c>
      <c r="Z51" t="s">
        <v>105</v>
      </c>
      <c r="AA51" t="s">
        <v>106</v>
      </c>
      <c r="AB51" t="s">
        <v>106</v>
      </c>
      <c r="AC51" t="s">
        <v>107</v>
      </c>
      <c r="AD51" t="s">
        <v>105</v>
      </c>
      <c r="AE51" t="s">
        <v>105</v>
      </c>
      <c r="AF51" t="s">
        <v>105</v>
      </c>
      <c r="AG51" t="s">
        <v>105</v>
      </c>
      <c r="AH51" t="s">
        <v>131</v>
      </c>
      <c r="AI51" t="s">
        <v>131</v>
      </c>
      <c r="AJ51" t="s">
        <v>131</v>
      </c>
      <c r="AK51" t="s">
        <v>131</v>
      </c>
      <c r="AL51" t="s">
        <v>131</v>
      </c>
      <c r="AM51" t="s">
        <v>113</v>
      </c>
      <c r="AN51" t="s">
        <v>114</v>
      </c>
      <c r="AO51" t="s">
        <v>137</v>
      </c>
      <c r="AP51" t="s">
        <v>192</v>
      </c>
      <c r="AQ51" t="s">
        <v>138</v>
      </c>
      <c r="AR51" t="s">
        <v>118</v>
      </c>
      <c r="AS51" t="s">
        <v>119</v>
      </c>
      <c r="AT51" t="s">
        <v>120</v>
      </c>
      <c r="AU51" t="s">
        <v>121</v>
      </c>
      <c r="AV51">
        <v>0</v>
      </c>
      <c r="AW51">
        <v>0</v>
      </c>
      <c r="AX51">
        <v>0</v>
      </c>
      <c r="AY51" s="6">
        <f t="shared" si="5"/>
        <v>31</v>
      </c>
      <c r="AZ51">
        <v>1</v>
      </c>
      <c r="BA51">
        <v>226</v>
      </c>
      <c r="BB51">
        <v>587618</v>
      </c>
      <c r="BC51" t="s">
        <v>122</v>
      </c>
      <c r="BD51" t="s">
        <v>123</v>
      </c>
      <c r="BE51" t="s">
        <v>139</v>
      </c>
      <c r="BF51" t="s">
        <v>125</v>
      </c>
      <c r="BG51" s="1" t="s">
        <v>16</v>
      </c>
      <c r="BH51" s="1" t="s">
        <v>134</v>
      </c>
      <c r="BI51" t="s">
        <v>127</v>
      </c>
      <c r="BJ51" t="s">
        <v>619</v>
      </c>
      <c r="BK51" t="s">
        <v>128</v>
      </c>
      <c r="BL51" s="7">
        <f t="shared" si="6"/>
        <v>1.7017858540752666</v>
      </c>
      <c r="BM51" s="7">
        <f t="shared" si="7"/>
        <v>384.60360302101026</v>
      </c>
      <c r="BN51" s="6">
        <f>IFERROR(VLOOKUP(H51,index_logic!$A$4:$B$8,2,FALSE),0)</f>
        <v>0</v>
      </c>
      <c r="BO51" s="6">
        <f>IFERROR(VLOOKUP(AD51,index_logic!$D$4:$E$21,2,FALSE),0)</f>
        <v>3</v>
      </c>
      <c r="BP51" s="6">
        <f>IFERROR(VLOOKUP(AM51,index_logic!$G$4:$H$6,2,FALSE),0)</f>
        <v>3</v>
      </c>
      <c r="BQ51" s="6">
        <f>IFERROR(VLOOKUP(AH51,index_logic!$J$4:$K$6,2,FALSE),0)</f>
        <v>15</v>
      </c>
      <c r="BR51" s="6">
        <f>IFERROR(VLOOKUP(BE51,index_logic!$M$4:$N$7,2,FALSE),0)</f>
        <v>3</v>
      </c>
      <c r="BS51" s="6">
        <f>IFERROR(VLOOKUP(BL51,index_logic!$P$4:$Q$9,2,TRUE),0)</f>
        <v>5</v>
      </c>
      <c r="BT51" s="6">
        <f>IFERROR(VLOOKUP(BM51,index_logic!$S$4:$T$9,2,TRUE),0)</f>
        <v>2</v>
      </c>
      <c r="BU51" s="6">
        <f t="shared" si="8"/>
        <v>31</v>
      </c>
      <c r="BV51" t="str">
        <f t="shared" si="9"/>
        <v>Very Low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selection activeCell="H27" sqref="H27"/>
    </sheetView>
  </sheetViews>
  <sheetFormatPr baseColWidth="10" defaultColWidth="8.83203125" defaultRowHeight="15" x14ac:dyDescent="0.2"/>
  <cols>
    <col min="1" max="1" width="31.83203125" bestFit="1" customWidth="1"/>
    <col min="4" max="4" width="61.6640625" bestFit="1" customWidth="1"/>
    <col min="7" max="7" width="18.6640625" bestFit="1" customWidth="1"/>
    <col min="10" max="10" width="34.5" bestFit="1" customWidth="1"/>
    <col min="13" max="13" width="34.6640625" bestFit="1" customWidth="1"/>
    <col min="16" max="16" width="22" bestFit="1" customWidth="1"/>
    <col min="19" max="19" width="19.1640625" bestFit="1" customWidth="1"/>
  </cols>
  <sheetData>
    <row r="1" spans="1:20" ht="19" x14ac:dyDescent="0.25">
      <c r="A1" s="8" t="s">
        <v>490</v>
      </c>
    </row>
    <row r="3" spans="1:20" x14ac:dyDescent="0.2">
      <c r="A3" s="9" t="s">
        <v>30</v>
      </c>
      <c r="B3" s="9" t="s">
        <v>491</v>
      </c>
      <c r="D3" s="9" t="s">
        <v>52</v>
      </c>
      <c r="E3" s="9" t="s">
        <v>491</v>
      </c>
      <c r="G3" s="9" t="s">
        <v>61</v>
      </c>
      <c r="H3" s="9" t="s">
        <v>491</v>
      </c>
      <c r="J3" s="9" t="s">
        <v>56</v>
      </c>
      <c r="K3" s="9" t="s">
        <v>491</v>
      </c>
      <c r="M3" s="9" t="s">
        <v>79</v>
      </c>
      <c r="N3" s="9" t="s">
        <v>491</v>
      </c>
      <c r="P3" s="9" t="s">
        <v>86</v>
      </c>
      <c r="Q3" s="9" t="s">
        <v>491</v>
      </c>
      <c r="S3" s="9" t="s">
        <v>87</v>
      </c>
      <c r="T3" s="9" t="s">
        <v>491</v>
      </c>
    </row>
    <row r="4" spans="1:20" x14ac:dyDescent="0.2">
      <c r="A4" t="s">
        <v>143</v>
      </c>
      <c r="B4">
        <v>30</v>
      </c>
      <c r="D4" t="s">
        <v>173</v>
      </c>
      <c r="E4">
        <v>20</v>
      </c>
      <c r="G4" t="s">
        <v>175</v>
      </c>
      <c r="H4">
        <v>10</v>
      </c>
      <c r="J4" t="s">
        <v>131</v>
      </c>
      <c r="K4">
        <v>15</v>
      </c>
      <c r="M4" t="s">
        <v>133</v>
      </c>
      <c r="N4">
        <v>10</v>
      </c>
      <c r="P4">
        <v>0</v>
      </c>
      <c r="Q4">
        <v>0</v>
      </c>
      <c r="S4">
        <v>0</v>
      </c>
      <c r="T4">
        <v>0</v>
      </c>
    </row>
    <row r="5" spans="1:20" x14ac:dyDescent="0.2">
      <c r="A5" t="s">
        <v>163</v>
      </c>
      <c r="B5">
        <v>22</v>
      </c>
      <c r="D5" t="s">
        <v>303</v>
      </c>
      <c r="E5">
        <v>20</v>
      </c>
      <c r="G5" t="s">
        <v>258</v>
      </c>
      <c r="H5">
        <v>7</v>
      </c>
      <c r="J5" t="s">
        <v>287</v>
      </c>
      <c r="K5">
        <v>3</v>
      </c>
      <c r="M5" t="s">
        <v>278</v>
      </c>
      <c r="N5">
        <v>7</v>
      </c>
      <c r="P5">
        <v>1E-4</v>
      </c>
      <c r="Q5">
        <v>1</v>
      </c>
      <c r="S5">
        <v>1E-4</v>
      </c>
      <c r="T5">
        <v>2</v>
      </c>
    </row>
    <row r="6" spans="1:20" x14ac:dyDescent="0.2">
      <c r="A6" t="s">
        <v>137</v>
      </c>
      <c r="B6">
        <v>12</v>
      </c>
      <c r="D6" t="s">
        <v>189</v>
      </c>
      <c r="E6">
        <v>18</v>
      </c>
      <c r="G6" t="s">
        <v>113</v>
      </c>
      <c r="H6">
        <v>3</v>
      </c>
      <c r="J6" t="s">
        <v>108</v>
      </c>
      <c r="K6">
        <v>0</v>
      </c>
      <c r="M6" t="s">
        <v>139</v>
      </c>
      <c r="N6">
        <v>3</v>
      </c>
      <c r="P6">
        <v>0.3</v>
      </c>
      <c r="Q6">
        <v>2</v>
      </c>
      <c r="S6">
        <v>700</v>
      </c>
      <c r="T6">
        <v>4</v>
      </c>
    </row>
    <row r="7" spans="1:20" x14ac:dyDescent="0.2">
      <c r="A7" t="s">
        <v>229</v>
      </c>
      <c r="B7">
        <v>4</v>
      </c>
      <c r="D7" t="s">
        <v>220</v>
      </c>
      <c r="E7">
        <v>18</v>
      </c>
      <c r="M7" t="s">
        <v>124</v>
      </c>
      <c r="N7">
        <v>0</v>
      </c>
      <c r="P7">
        <v>0.5</v>
      </c>
      <c r="Q7">
        <v>3</v>
      </c>
      <c r="S7">
        <v>1200</v>
      </c>
      <c r="T7">
        <v>6</v>
      </c>
    </row>
    <row r="8" spans="1:20" x14ac:dyDescent="0.2">
      <c r="A8" t="s">
        <v>101</v>
      </c>
      <c r="B8">
        <v>0</v>
      </c>
      <c r="D8" t="s">
        <v>370</v>
      </c>
      <c r="E8">
        <v>18</v>
      </c>
      <c r="P8">
        <v>0.8</v>
      </c>
      <c r="Q8">
        <v>4</v>
      </c>
      <c r="S8">
        <v>1800</v>
      </c>
      <c r="T8">
        <v>8</v>
      </c>
    </row>
    <row r="9" spans="1:20" x14ac:dyDescent="0.2">
      <c r="D9" t="s">
        <v>319</v>
      </c>
      <c r="E9">
        <v>12</v>
      </c>
      <c r="P9">
        <v>1.2</v>
      </c>
      <c r="Q9">
        <v>5</v>
      </c>
      <c r="S9">
        <v>2500</v>
      </c>
      <c r="T9">
        <v>10</v>
      </c>
    </row>
    <row r="10" spans="1:20" x14ac:dyDescent="0.2">
      <c r="D10" t="s">
        <v>386</v>
      </c>
      <c r="E10">
        <v>12</v>
      </c>
    </row>
    <row r="11" spans="1:20" x14ac:dyDescent="0.2">
      <c r="D11" t="s">
        <v>404</v>
      </c>
      <c r="E11">
        <v>12</v>
      </c>
    </row>
    <row r="12" spans="1:20" x14ac:dyDescent="0.2">
      <c r="D12" t="s">
        <v>206</v>
      </c>
      <c r="E12">
        <v>12</v>
      </c>
    </row>
    <row r="13" spans="1:20" x14ac:dyDescent="0.2">
      <c r="D13" t="s">
        <v>439</v>
      </c>
      <c r="E13">
        <v>10</v>
      </c>
    </row>
    <row r="14" spans="1:20" x14ac:dyDescent="0.2">
      <c r="D14" t="s">
        <v>332</v>
      </c>
      <c r="E14">
        <v>10</v>
      </c>
    </row>
    <row r="15" spans="1:20" x14ac:dyDescent="0.2">
      <c r="D15" t="s">
        <v>268</v>
      </c>
      <c r="E15">
        <v>8</v>
      </c>
    </row>
    <row r="16" spans="1:20" x14ac:dyDescent="0.2">
      <c r="D16" t="s">
        <v>349</v>
      </c>
      <c r="E16">
        <v>6</v>
      </c>
    </row>
    <row r="17" spans="4:5" x14ac:dyDescent="0.2">
      <c r="D17" t="s">
        <v>105</v>
      </c>
      <c r="E17">
        <v>3</v>
      </c>
    </row>
    <row r="18" spans="4:5" x14ac:dyDescent="0.2">
      <c r="D18" t="s">
        <v>233</v>
      </c>
      <c r="E18">
        <v>3</v>
      </c>
    </row>
    <row r="19" spans="4:5" x14ac:dyDescent="0.2">
      <c r="D19" t="s">
        <v>152</v>
      </c>
      <c r="E19">
        <v>0</v>
      </c>
    </row>
    <row r="20" spans="4:5" x14ac:dyDescent="0.2">
      <c r="D20" t="s">
        <v>249</v>
      </c>
      <c r="E20">
        <v>0</v>
      </c>
    </row>
    <row r="21" spans="4:5" x14ac:dyDescent="0.2">
      <c r="D21" t="s">
        <v>460</v>
      </c>
      <c r="E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>
      <selection activeCell="A13" sqref="A13:B13"/>
    </sheetView>
  </sheetViews>
  <sheetFormatPr baseColWidth="10" defaultColWidth="8.83203125" defaultRowHeight="15" x14ac:dyDescent="0.2"/>
  <cols>
    <col min="1" max="1" width="70" customWidth="1"/>
    <col min="2" max="2" width="24" customWidth="1"/>
  </cols>
  <sheetData>
    <row r="1" spans="1:2" ht="19" x14ac:dyDescent="0.25">
      <c r="A1" s="8" t="s">
        <v>492</v>
      </c>
      <c r="B1" t="s">
        <v>493</v>
      </c>
    </row>
    <row r="2" spans="1:2" x14ac:dyDescent="0.2">
      <c r="A2" s="9" t="s">
        <v>494</v>
      </c>
      <c r="B2" s="9" t="s">
        <v>495</v>
      </c>
    </row>
    <row r="3" spans="1:2" x14ac:dyDescent="0.2">
      <c r="A3" t="s">
        <v>496</v>
      </c>
      <c r="B3">
        <v>30</v>
      </c>
    </row>
    <row r="4" spans="1:2" x14ac:dyDescent="0.2">
      <c r="A4" t="s">
        <v>497</v>
      </c>
      <c r="B4">
        <v>20</v>
      </c>
    </row>
    <row r="5" spans="1:2" x14ac:dyDescent="0.2">
      <c r="A5" t="s">
        <v>498</v>
      </c>
      <c r="B5">
        <v>10</v>
      </c>
    </row>
    <row r="6" spans="1:2" x14ac:dyDescent="0.2">
      <c r="A6" t="s">
        <v>499</v>
      </c>
      <c r="B6">
        <v>15</v>
      </c>
    </row>
    <row r="7" spans="1:2" x14ac:dyDescent="0.2">
      <c r="A7" t="s">
        <v>500</v>
      </c>
      <c r="B7">
        <v>10</v>
      </c>
    </row>
    <row r="8" spans="1:2" x14ac:dyDescent="0.2">
      <c r="A8" t="s">
        <v>501</v>
      </c>
      <c r="B8">
        <v>5</v>
      </c>
    </row>
    <row r="9" spans="1:2" x14ac:dyDescent="0.2">
      <c r="A9" t="s">
        <v>502</v>
      </c>
      <c r="B9">
        <v>10</v>
      </c>
    </row>
    <row r="10" spans="1:2" x14ac:dyDescent="0.2">
      <c r="A10" t="s">
        <v>503</v>
      </c>
      <c r="B10">
        <v>100</v>
      </c>
    </row>
    <row r="13" spans="1:2" x14ac:dyDescent="0.2">
      <c r="A13" s="9" t="s">
        <v>494</v>
      </c>
      <c r="B13" s="9" t="s">
        <v>495</v>
      </c>
    </row>
    <row r="14" spans="1:2" x14ac:dyDescent="0.2">
      <c r="A14" t="s">
        <v>504</v>
      </c>
      <c r="B14" t="s">
        <v>505</v>
      </c>
    </row>
    <row r="15" spans="1:2" x14ac:dyDescent="0.2">
      <c r="A15" t="s">
        <v>506</v>
      </c>
      <c r="B15" t="s">
        <v>507</v>
      </c>
    </row>
    <row r="16" spans="1:2" x14ac:dyDescent="0.2">
      <c r="A16" t="s">
        <v>508</v>
      </c>
      <c r="B16" t="s">
        <v>509</v>
      </c>
    </row>
    <row r="17" spans="1:2" x14ac:dyDescent="0.2">
      <c r="A17" t="s">
        <v>510</v>
      </c>
      <c r="B17" t="s">
        <v>511</v>
      </c>
    </row>
    <row r="18" spans="1:2" x14ac:dyDescent="0.2">
      <c r="A18" t="s">
        <v>512</v>
      </c>
      <c r="B18" t="s">
        <v>513</v>
      </c>
    </row>
    <row r="19" spans="1:2" x14ac:dyDescent="0.2">
      <c r="A19" t="s">
        <v>514</v>
      </c>
      <c r="B19" t="s">
        <v>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5"/>
  <sheetViews>
    <sheetView workbookViewId="0"/>
  </sheetViews>
  <sheetFormatPr baseColWidth="10" defaultColWidth="8.83203125" defaultRowHeight="15" x14ac:dyDescent="0.2"/>
  <cols>
    <col min="1" max="1" width="28" customWidth="1"/>
    <col min="2" max="2" width="20" customWidth="1"/>
    <col min="3" max="3" width="16" customWidth="1"/>
    <col min="4" max="5" width="52" customWidth="1"/>
  </cols>
  <sheetData>
    <row r="1" spans="1:5" x14ac:dyDescent="0.2">
      <c r="A1" s="9" t="s">
        <v>516</v>
      </c>
      <c r="B1" s="9" t="s">
        <v>517</v>
      </c>
      <c r="C1" s="9" t="s">
        <v>518</v>
      </c>
      <c r="D1" s="9" t="s">
        <v>519</v>
      </c>
      <c r="E1" s="9" t="s">
        <v>520</v>
      </c>
    </row>
    <row r="2" spans="1:5" x14ac:dyDescent="0.2">
      <c r="A2" t="s">
        <v>23</v>
      </c>
      <c r="B2" t="s">
        <v>521</v>
      </c>
      <c r="C2" t="s">
        <v>522</v>
      </c>
      <c r="D2" t="s">
        <v>523</v>
      </c>
      <c r="E2" t="s">
        <v>524</v>
      </c>
    </row>
    <row r="3" spans="1:5" x14ac:dyDescent="0.2">
      <c r="A3" t="s">
        <v>24</v>
      </c>
      <c r="B3" t="s">
        <v>521</v>
      </c>
      <c r="C3" t="s">
        <v>522</v>
      </c>
      <c r="D3" t="s">
        <v>525</v>
      </c>
      <c r="E3" t="s">
        <v>524</v>
      </c>
    </row>
    <row r="4" spans="1:5" x14ac:dyDescent="0.2">
      <c r="A4" t="s">
        <v>25</v>
      </c>
      <c r="B4" t="s">
        <v>521</v>
      </c>
      <c r="C4" t="s">
        <v>526</v>
      </c>
      <c r="D4" t="s">
        <v>527</v>
      </c>
      <c r="E4" t="s">
        <v>524</v>
      </c>
    </row>
    <row r="5" spans="1:5" x14ac:dyDescent="0.2">
      <c r="A5" t="s">
        <v>26</v>
      </c>
      <c r="B5" t="s">
        <v>521</v>
      </c>
      <c r="C5" t="s">
        <v>522</v>
      </c>
      <c r="D5" t="s">
        <v>528</v>
      </c>
      <c r="E5" t="s">
        <v>524</v>
      </c>
    </row>
    <row r="6" spans="1:5" x14ac:dyDescent="0.2">
      <c r="A6" t="s">
        <v>27</v>
      </c>
      <c r="B6" t="s">
        <v>521</v>
      </c>
      <c r="C6" t="s">
        <v>526</v>
      </c>
      <c r="D6" t="s">
        <v>529</v>
      </c>
      <c r="E6" t="s">
        <v>524</v>
      </c>
    </row>
    <row r="7" spans="1:5" x14ac:dyDescent="0.2">
      <c r="A7" t="s">
        <v>28</v>
      </c>
      <c r="B7" t="s">
        <v>521</v>
      </c>
      <c r="C7" t="s">
        <v>522</v>
      </c>
      <c r="D7" t="s">
        <v>530</v>
      </c>
      <c r="E7" t="s">
        <v>524</v>
      </c>
    </row>
    <row r="8" spans="1:5" x14ac:dyDescent="0.2">
      <c r="A8" t="s">
        <v>29</v>
      </c>
      <c r="B8" t="s">
        <v>521</v>
      </c>
      <c r="C8" t="s">
        <v>522</v>
      </c>
      <c r="D8" t="s">
        <v>531</v>
      </c>
      <c r="E8" t="s">
        <v>524</v>
      </c>
    </row>
    <row r="9" spans="1:5" x14ac:dyDescent="0.2">
      <c r="A9" t="s">
        <v>30</v>
      </c>
      <c r="B9" t="s">
        <v>532</v>
      </c>
      <c r="C9" t="s">
        <v>522</v>
      </c>
      <c r="D9" t="s">
        <v>533</v>
      </c>
      <c r="E9" t="s">
        <v>534</v>
      </c>
    </row>
    <row r="10" spans="1:5" x14ac:dyDescent="0.2">
      <c r="A10" t="s">
        <v>31</v>
      </c>
      <c r="B10" t="s">
        <v>532</v>
      </c>
      <c r="C10" t="s">
        <v>522</v>
      </c>
      <c r="D10" t="s">
        <v>535</v>
      </c>
      <c r="E10" t="s">
        <v>524</v>
      </c>
    </row>
    <row r="11" spans="1:5" x14ac:dyDescent="0.2">
      <c r="A11" t="s">
        <v>32</v>
      </c>
      <c r="B11" t="s">
        <v>532</v>
      </c>
      <c r="C11" t="s">
        <v>522</v>
      </c>
      <c r="D11" t="s">
        <v>536</v>
      </c>
      <c r="E11" t="s">
        <v>524</v>
      </c>
    </row>
    <row r="12" spans="1:5" x14ac:dyDescent="0.2">
      <c r="A12" t="s">
        <v>33</v>
      </c>
      <c r="B12" t="s">
        <v>532</v>
      </c>
      <c r="C12" t="s">
        <v>522</v>
      </c>
      <c r="D12" t="s">
        <v>537</v>
      </c>
      <c r="E12" t="s">
        <v>524</v>
      </c>
    </row>
    <row r="13" spans="1:5" x14ac:dyDescent="0.2">
      <c r="A13" t="s">
        <v>34</v>
      </c>
      <c r="B13" t="s">
        <v>532</v>
      </c>
      <c r="C13" t="s">
        <v>522</v>
      </c>
      <c r="D13" t="s">
        <v>538</v>
      </c>
      <c r="E13" t="s">
        <v>524</v>
      </c>
    </row>
    <row r="14" spans="1:5" x14ac:dyDescent="0.2">
      <c r="A14" t="s">
        <v>35</v>
      </c>
      <c r="B14" t="s">
        <v>532</v>
      </c>
      <c r="C14" t="s">
        <v>522</v>
      </c>
      <c r="D14" t="s">
        <v>539</v>
      </c>
      <c r="E14" t="s">
        <v>524</v>
      </c>
    </row>
    <row r="15" spans="1:5" x14ac:dyDescent="0.2">
      <c r="A15" t="s">
        <v>36</v>
      </c>
      <c r="B15" t="s">
        <v>532</v>
      </c>
      <c r="C15" t="s">
        <v>522</v>
      </c>
      <c r="D15" t="s">
        <v>540</v>
      </c>
      <c r="E15" t="s">
        <v>524</v>
      </c>
    </row>
    <row r="16" spans="1:5" x14ac:dyDescent="0.2">
      <c r="A16" t="s">
        <v>37</v>
      </c>
      <c r="B16" t="s">
        <v>532</v>
      </c>
      <c r="C16" t="s">
        <v>522</v>
      </c>
      <c r="D16" t="s">
        <v>541</v>
      </c>
      <c r="E16" t="s">
        <v>524</v>
      </c>
    </row>
    <row r="17" spans="1:5" x14ac:dyDescent="0.2">
      <c r="A17" t="s">
        <v>38</v>
      </c>
      <c r="B17" t="s">
        <v>532</v>
      </c>
      <c r="C17" t="s">
        <v>522</v>
      </c>
      <c r="D17" t="s">
        <v>542</v>
      </c>
      <c r="E17" t="s">
        <v>524</v>
      </c>
    </row>
    <row r="18" spans="1:5" x14ac:dyDescent="0.2">
      <c r="A18" t="s">
        <v>39</v>
      </c>
      <c r="B18" t="s">
        <v>532</v>
      </c>
      <c r="C18" t="s">
        <v>522</v>
      </c>
      <c r="D18" t="s">
        <v>543</v>
      </c>
      <c r="E18" t="s">
        <v>524</v>
      </c>
    </row>
    <row r="19" spans="1:5" x14ac:dyDescent="0.2">
      <c r="A19" t="s">
        <v>40</v>
      </c>
      <c r="B19" t="s">
        <v>532</v>
      </c>
      <c r="C19" t="s">
        <v>522</v>
      </c>
      <c r="D19" t="s">
        <v>544</v>
      </c>
      <c r="E19" t="s">
        <v>524</v>
      </c>
    </row>
    <row r="20" spans="1:5" x14ac:dyDescent="0.2">
      <c r="A20" t="s">
        <v>41</v>
      </c>
      <c r="B20" t="s">
        <v>545</v>
      </c>
      <c r="C20" t="s">
        <v>522</v>
      </c>
      <c r="D20" t="s">
        <v>546</v>
      </c>
      <c r="E20" t="s">
        <v>524</v>
      </c>
    </row>
    <row r="21" spans="1:5" x14ac:dyDescent="0.2">
      <c r="A21" t="s">
        <v>42</v>
      </c>
      <c r="B21" t="s">
        <v>545</v>
      </c>
      <c r="C21" t="s">
        <v>522</v>
      </c>
      <c r="D21" t="s">
        <v>547</v>
      </c>
      <c r="E21" t="s">
        <v>524</v>
      </c>
    </row>
    <row r="22" spans="1:5" x14ac:dyDescent="0.2">
      <c r="A22" t="s">
        <v>43</v>
      </c>
      <c r="B22" t="s">
        <v>545</v>
      </c>
      <c r="C22" t="s">
        <v>522</v>
      </c>
      <c r="D22" t="s">
        <v>548</v>
      </c>
      <c r="E22" t="s">
        <v>524</v>
      </c>
    </row>
    <row r="23" spans="1:5" x14ac:dyDescent="0.2">
      <c r="A23" t="s">
        <v>44</v>
      </c>
      <c r="B23" t="s">
        <v>545</v>
      </c>
      <c r="C23" t="s">
        <v>526</v>
      </c>
      <c r="D23" t="s">
        <v>549</v>
      </c>
      <c r="E23" t="s">
        <v>524</v>
      </c>
    </row>
    <row r="24" spans="1:5" x14ac:dyDescent="0.2">
      <c r="A24" t="s">
        <v>45</v>
      </c>
      <c r="B24" t="s">
        <v>545</v>
      </c>
      <c r="C24" t="s">
        <v>522</v>
      </c>
      <c r="D24" t="s">
        <v>550</v>
      </c>
      <c r="E24" t="s">
        <v>524</v>
      </c>
    </row>
    <row r="25" spans="1:5" x14ac:dyDescent="0.2">
      <c r="A25" t="s">
        <v>46</v>
      </c>
      <c r="B25" t="s">
        <v>551</v>
      </c>
      <c r="C25" t="s">
        <v>522</v>
      </c>
      <c r="D25" t="s">
        <v>552</v>
      </c>
      <c r="E25" t="s">
        <v>524</v>
      </c>
    </row>
    <row r="26" spans="1:5" x14ac:dyDescent="0.2">
      <c r="A26" t="s">
        <v>47</v>
      </c>
      <c r="B26" t="s">
        <v>551</v>
      </c>
      <c r="C26" t="s">
        <v>522</v>
      </c>
      <c r="D26" t="s">
        <v>553</v>
      </c>
      <c r="E26" t="s">
        <v>524</v>
      </c>
    </row>
    <row r="27" spans="1:5" x14ac:dyDescent="0.2">
      <c r="A27" t="s">
        <v>48</v>
      </c>
      <c r="B27" t="s">
        <v>551</v>
      </c>
      <c r="C27" t="s">
        <v>522</v>
      </c>
      <c r="D27" t="s">
        <v>554</v>
      </c>
      <c r="E27" t="s">
        <v>524</v>
      </c>
    </row>
    <row r="28" spans="1:5" x14ac:dyDescent="0.2">
      <c r="A28" t="s">
        <v>49</v>
      </c>
      <c r="B28" t="s">
        <v>551</v>
      </c>
      <c r="C28" t="s">
        <v>522</v>
      </c>
      <c r="D28" t="s">
        <v>555</v>
      </c>
      <c r="E28" t="s">
        <v>524</v>
      </c>
    </row>
    <row r="29" spans="1:5" x14ac:dyDescent="0.2">
      <c r="A29" t="s">
        <v>50</v>
      </c>
      <c r="B29" t="s">
        <v>551</v>
      </c>
      <c r="C29" t="s">
        <v>522</v>
      </c>
      <c r="D29" t="s">
        <v>556</v>
      </c>
      <c r="E29" t="s">
        <v>524</v>
      </c>
    </row>
    <row r="30" spans="1:5" x14ac:dyDescent="0.2">
      <c r="A30" t="s">
        <v>51</v>
      </c>
      <c r="B30" t="s">
        <v>551</v>
      </c>
      <c r="C30" t="s">
        <v>522</v>
      </c>
      <c r="D30" t="s">
        <v>557</v>
      </c>
      <c r="E30" t="s">
        <v>524</v>
      </c>
    </row>
    <row r="31" spans="1:5" x14ac:dyDescent="0.2">
      <c r="A31" t="s">
        <v>52</v>
      </c>
      <c r="B31" t="s">
        <v>551</v>
      </c>
      <c r="C31" t="s">
        <v>522</v>
      </c>
      <c r="D31" t="s">
        <v>558</v>
      </c>
      <c r="E31" t="s">
        <v>524</v>
      </c>
    </row>
    <row r="32" spans="1:5" x14ac:dyDescent="0.2">
      <c r="A32" t="s">
        <v>53</v>
      </c>
      <c r="B32" t="s">
        <v>551</v>
      </c>
      <c r="C32" t="s">
        <v>522</v>
      </c>
      <c r="D32" t="s">
        <v>559</v>
      </c>
      <c r="E32" t="s">
        <v>524</v>
      </c>
    </row>
    <row r="33" spans="1:5" x14ac:dyDescent="0.2">
      <c r="A33" t="s">
        <v>54</v>
      </c>
      <c r="B33" t="s">
        <v>551</v>
      </c>
      <c r="C33" t="s">
        <v>522</v>
      </c>
      <c r="D33" t="s">
        <v>560</v>
      </c>
      <c r="E33" t="s">
        <v>524</v>
      </c>
    </row>
    <row r="34" spans="1:5" x14ac:dyDescent="0.2">
      <c r="A34" t="s">
        <v>55</v>
      </c>
      <c r="B34" t="s">
        <v>551</v>
      </c>
      <c r="C34" t="s">
        <v>522</v>
      </c>
      <c r="D34" t="s">
        <v>561</v>
      </c>
      <c r="E34" t="s">
        <v>524</v>
      </c>
    </row>
    <row r="35" spans="1:5" x14ac:dyDescent="0.2">
      <c r="A35" t="s">
        <v>56</v>
      </c>
      <c r="B35" t="s">
        <v>562</v>
      </c>
      <c r="C35" t="s">
        <v>522</v>
      </c>
      <c r="D35" t="s">
        <v>563</v>
      </c>
      <c r="E35" t="s">
        <v>564</v>
      </c>
    </row>
    <row r="36" spans="1:5" x14ac:dyDescent="0.2">
      <c r="A36" t="s">
        <v>57</v>
      </c>
      <c r="B36" t="s">
        <v>562</v>
      </c>
      <c r="C36" t="s">
        <v>522</v>
      </c>
      <c r="D36" t="s">
        <v>565</v>
      </c>
      <c r="E36" t="s">
        <v>524</v>
      </c>
    </row>
    <row r="37" spans="1:5" x14ac:dyDescent="0.2">
      <c r="A37" t="s">
        <v>58</v>
      </c>
      <c r="B37" t="s">
        <v>562</v>
      </c>
      <c r="C37" t="s">
        <v>522</v>
      </c>
      <c r="D37" t="s">
        <v>566</v>
      </c>
      <c r="E37" t="s">
        <v>524</v>
      </c>
    </row>
    <row r="38" spans="1:5" x14ac:dyDescent="0.2">
      <c r="A38" t="s">
        <v>59</v>
      </c>
      <c r="B38" t="s">
        <v>562</v>
      </c>
      <c r="C38" t="s">
        <v>522</v>
      </c>
      <c r="D38" t="s">
        <v>567</v>
      </c>
      <c r="E38" t="s">
        <v>524</v>
      </c>
    </row>
    <row r="39" spans="1:5" x14ac:dyDescent="0.2">
      <c r="A39" t="s">
        <v>60</v>
      </c>
      <c r="B39" t="s">
        <v>562</v>
      </c>
      <c r="C39" t="s">
        <v>522</v>
      </c>
      <c r="D39" t="s">
        <v>568</v>
      </c>
      <c r="E39" t="s">
        <v>524</v>
      </c>
    </row>
    <row r="40" spans="1:5" x14ac:dyDescent="0.2">
      <c r="A40" t="s">
        <v>61</v>
      </c>
      <c r="B40" t="s">
        <v>569</v>
      </c>
      <c r="C40" t="s">
        <v>522</v>
      </c>
      <c r="D40" t="s">
        <v>570</v>
      </c>
      <c r="E40" t="s">
        <v>571</v>
      </c>
    </row>
    <row r="41" spans="1:5" x14ac:dyDescent="0.2">
      <c r="A41" t="s">
        <v>62</v>
      </c>
      <c r="B41" t="s">
        <v>569</v>
      </c>
      <c r="C41" t="s">
        <v>522</v>
      </c>
      <c r="D41" t="s">
        <v>572</v>
      </c>
      <c r="E41" t="s">
        <v>524</v>
      </c>
    </row>
    <row r="42" spans="1:5" x14ac:dyDescent="0.2">
      <c r="A42" t="s">
        <v>63</v>
      </c>
      <c r="B42" t="s">
        <v>569</v>
      </c>
      <c r="C42" t="s">
        <v>522</v>
      </c>
      <c r="D42" t="s">
        <v>573</v>
      </c>
      <c r="E42" t="s">
        <v>524</v>
      </c>
    </row>
    <row r="43" spans="1:5" x14ac:dyDescent="0.2">
      <c r="A43" t="s">
        <v>64</v>
      </c>
      <c r="B43" t="s">
        <v>569</v>
      </c>
      <c r="C43" t="s">
        <v>522</v>
      </c>
      <c r="D43" t="s">
        <v>574</v>
      </c>
      <c r="E43" t="s">
        <v>524</v>
      </c>
    </row>
    <row r="44" spans="1:5" x14ac:dyDescent="0.2">
      <c r="A44" t="s">
        <v>65</v>
      </c>
      <c r="B44" t="s">
        <v>569</v>
      </c>
      <c r="C44" t="s">
        <v>522</v>
      </c>
      <c r="D44" t="s">
        <v>575</v>
      </c>
      <c r="E44" t="s">
        <v>524</v>
      </c>
    </row>
    <row r="45" spans="1:5" x14ac:dyDescent="0.2">
      <c r="A45" t="s">
        <v>66</v>
      </c>
      <c r="B45" t="s">
        <v>576</v>
      </c>
      <c r="C45" t="s">
        <v>522</v>
      </c>
      <c r="D45" t="s">
        <v>577</v>
      </c>
      <c r="E45" t="s">
        <v>524</v>
      </c>
    </row>
    <row r="46" spans="1:5" x14ac:dyDescent="0.2">
      <c r="A46" t="s">
        <v>67</v>
      </c>
      <c r="B46" t="s">
        <v>576</v>
      </c>
      <c r="C46" t="s">
        <v>522</v>
      </c>
      <c r="D46" t="s">
        <v>578</v>
      </c>
      <c r="E46" t="s">
        <v>524</v>
      </c>
    </row>
    <row r="47" spans="1:5" x14ac:dyDescent="0.2">
      <c r="A47" t="s">
        <v>68</v>
      </c>
      <c r="B47" t="s">
        <v>576</v>
      </c>
      <c r="C47" t="s">
        <v>522</v>
      </c>
      <c r="D47" t="s">
        <v>579</v>
      </c>
      <c r="E47" t="s">
        <v>524</v>
      </c>
    </row>
    <row r="48" spans="1:5" x14ac:dyDescent="0.2">
      <c r="A48" t="s">
        <v>69</v>
      </c>
      <c r="B48" t="s">
        <v>576</v>
      </c>
      <c r="C48" t="s">
        <v>522</v>
      </c>
      <c r="D48" t="s">
        <v>580</v>
      </c>
      <c r="E48" t="s">
        <v>524</v>
      </c>
    </row>
    <row r="49" spans="1:5" x14ac:dyDescent="0.2">
      <c r="A49" t="s">
        <v>70</v>
      </c>
      <c r="B49" t="s">
        <v>581</v>
      </c>
      <c r="C49" t="s">
        <v>526</v>
      </c>
      <c r="D49" t="s">
        <v>582</v>
      </c>
      <c r="E49" t="s">
        <v>524</v>
      </c>
    </row>
    <row r="50" spans="1:5" x14ac:dyDescent="0.2">
      <c r="A50" t="s">
        <v>71</v>
      </c>
      <c r="B50" t="s">
        <v>581</v>
      </c>
      <c r="C50" t="s">
        <v>526</v>
      </c>
      <c r="D50" t="s">
        <v>583</v>
      </c>
      <c r="E50" t="s">
        <v>524</v>
      </c>
    </row>
    <row r="51" spans="1:5" x14ac:dyDescent="0.2">
      <c r="A51" t="s">
        <v>72</v>
      </c>
      <c r="B51" t="s">
        <v>581</v>
      </c>
      <c r="C51" t="s">
        <v>526</v>
      </c>
      <c r="D51" t="s">
        <v>584</v>
      </c>
      <c r="E51" t="s">
        <v>524</v>
      </c>
    </row>
    <row r="52" spans="1:5" x14ac:dyDescent="0.2">
      <c r="A52" t="s">
        <v>73</v>
      </c>
      <c r="B52" t="s">
        <v>581</v>
      </c>
      <c r="C52" t="s">
        <v>526</v>
      </c>
      <c r="D52" t="s">
        <v>585</v>
      </c>
      <c r="E52" t="s">
        <v>586</v>
      </c>
    </row>
    <row r="53" spans="1:5" x14ac:dyDescent="0.2">
      <c r="A53" t="s">
        <v>74</v>
      </c>
      <c r="B53" t="s">
        <v>587</v>
      </c>
      <c r="C53" t="s">
        <v>526</v>
      </c>
      <c r="D53" t="s">
        <v>588</v>
      </c>
      <c r="E53" t="s">
        <v>589</v>
      </c>
    </row>
    <row r="54" spans="1:5" x14ac:dyDescent="0.2">
      <c r="A54" t="s">
        <v>75</v>
      </c>
      <c r="B54" t="s">
        <v>587</v>
      </c>
      <c r="C54" t="s">
        <v>526</v>
      </c>
      <c r="D54" t="s">
        <v>590</v>
      </c>
      <c r="E54" t="s">
        <v>589</v>
      </c>
    </row>
    <row r="55" spans="1:5" x14ac:dyDescent="0.2">
      <c r="A55" t="s">
        <v>76</v>
      </c>
      <c r="B55" t="s">
        <v>587</v>
      </c>
      <c r="C55" t="s">
        <v>526</v>
      </c>
      <c r="D55" t="s">
        <v>591</v>
      </c>
      <c r="E55" t="s">
        <v>592</v>
      </c>
    </row>
    <row r="56" spans="1:5" x14ac:dyDescent="0.2">
      <c r="A56" t="s">
        <v>77</v>
      </c>
      <c r="B56" t="s">
        <v>587</v>
      </c>
      <c r="C56" t="s">
        <v>522</v>
      </c>
      <c r="D56" t="s">
        <v>593</v>
      </c>
      <c r="E56" t="s">
        <v>524</v>
      </c>
    </row>
    <row r="57" spans="1:5" x14ac:dyDescent="0.2">
      <c r="A57" t="s">
        <v>78</v>
      </c>
      <c r="B57" t="s">
        <v>587</v>
      </c>
      <c r="C57" t="s">
        <v>522</v>
      </c>
      <c r="D57" t="s">
        <v>594</v>
      </c>
      <c r="E57" t="s">
        <v>595</v>
      </c>
    </row>
    <row r="58" spans="1:5" x14ac:dyDescent="0.2">
      <c r="A58" t="s">
        <v>79</v>
      </c>
      <c r="B58" t="s">
        <v>587</v>
      </c>
      <c r="C58" t="s">
        <v>522</v>
      </c>
      <c r="D58" t="s">
        <v>596</v>
      </c>
      <c r="E58" t="s">
        <v>597</v>
      </c>
    </row>
    <row r="59" spans="1:5" x14ac:dyDescent="0.2">
      <c r="A59" t="s">
        <v>80</v>
      </c>
      <c r="B59" t="s">
        <v>598</v>
      </c>
      <c r="C59" t="s">
        <v>522</v>
      </c>
      <c r="D59" t="s">
        <v>599</v>
      </c>
      <c r="E59" t="s">
        <v>524</v>
      </c>
    </row>
    <row r="60" spans="1:5" x14ac:dyDescent="0.2">
      <c r="A60" t="s">
        <v>81</v>
      </c>
      <c r="B60" t="s">
        <v>598</v>
      </c>
      <c r="C60" t="s">
        <v>522</v>
      </c>
      <c r="D60" t="s">
        <v>600</v>
      </c>
      <c r="E60" t="s">
        <v>524</v>
      </c>
    </row>
    <row r="61" spans="1:5" x14ac:dyDescent="0.2">
      <c r="A61" t="s">
        <v>82</v>
      </c>
      <c r="B61" t="s">
        <v>598</v>
      </c>
      <c r="C61" t="s">
        <v>522</v>
      </c>
      <c r="D61" t="s">
        <v>601</v>
      </c>
      <c r="E61" t="s">
        <v>524</v>
      </c>
    </row>
    <row r="62" spans="1:5" x14ac:dyDescent="0.2">
      <c r="A62" t="s">
        <v>83</v>
      </c>
      <c r="B62" t="s">
        <v>598</v>
      </c>
      <c r="C62" t="s">
        <v>522</v>
      </c>
      <c r="D62" t="s">
        <v>602</v>
      </c>
      <c r="E62" t="s">
        <v>524</v>
      </c>
    </row>
    <row r="63" spans="1:5" x14ac:dyDescent="0.2">
      <c r="A63" t="s">
        <v>84</v>
      </c>
      <c r="B63" t="s">
        <v>598</v>
      </c>
      <c r="C63" t="s">
        <v>522</v>
      </c>
      <c r="D63" t="s">
        <v>603</v>
      </c>
      <c r="E63" t="s">
        <v>524</v>
      </c>
    </row>
    <row r="64" spans="1:5" x14ac:dyDescent="0.2">
      <c r="A64" t="s">
        <v>85</v>
      </c>
      <c r="B64" t="s">
        <v>598</v>
      </c>
      <c r="C64" t="s">
        <v>522</v>
      </c>
      <c r="D64" t="s">
        <v>604</v>
      </c>
      <c r="E64" t="s">
        <v>524</v>
      </c>
    </row>
    <row r="65" spans="1:5" x14ac:dyDescent="0.2">
      <c r="A65" t="s">
        <v>86</v>
      </c>
      <c r="B65" t="s">
        <v>605</v>
      </c>
      <c r="C65" t="s">
        <v>526</v>
      </c>
      <c r="D65" t="s">
        <v>606</v>
      </c>
      <c r="E65" t="s">
        <v>607</v>
      </c>
    </row>
    <row r="66" spans="1:5" x14ac:dyDescent="0.2">
      <c r="A66" t="s">
        <v>87</v>
      </c>
      <c r="B66" t="s">
        <v>605</v>
      </c>
      <c r="C66" t="s">
        <v>526</v>
      </c>
      <c r="D66" t="s">
        <v>608</v>
      </c>
      <c r="E66" t="s">
        <v>607</v>
      </c>
    </row>
    <row r="67" spans="1:5" x14ac:dyDescent="0.2">
      <c r="A67" t="s">
        <v>88</v>
      </c>
      <c r="B67" t="s">
        <v>605</v>
      </c>
      <c r="C67" t="s">
        <v>526</v>
      </c>
      <c r="D67" t="s">
        <v>609</v>
      </c>
      <c r="E67" t="s">
        <v>524</v>
      </c>
    </row>
    <row r="68" spans="1:5" x14ac:dyDescent="0.2">
      <c r="A68" t="s">
        <v>89</v>
      </c>
      <c r="B68" t="s">
        <v>605</v>
      </c>
      <c r="C68" t="s">
        <v>526</v>
      </c>
      <c r="D68" t="s">
        <v>610</v>
      </c>
      <c r="E68" t="s">
        <v>524</v>
      </c>
    </row>
    <row r="69" spans="1:5" x14ac:dyDescent="0.2">
      <c r="A69" t="s">
        <v>90</v>
      </c>
      <c r="B69" t="s">
        <v>605</v>
      </c>
      <c r="C69" t="s">
        <v>526</v>
      </c>
      <c r="D69" t="s">
        <v>611</v>
      </c>
      <c r="E69" t="s">
        <v>524</v>
      </c>
    </row>
    <row r="70" spans="1:5" x14ac:dyDescent="0.2">
      <c r="A70" t="s">
        <v>91</v>
      </c>
      <c r="B70" t="s">
        <v>605</v>
      </c>
      <c r="C70" t="s">
        <v>526</v>
      </c>
      <c r="D70" t="s">
        <v>612</v>
      </c>
      <c r="E70" t="s">
        <v>524</v>
      </c>
    </row>
    <row r="71" spans="1:5" x14ac:dyDescent="0.2">
      <c r="A71" t="s">
        <v>92</v>
      </c>
      <c r="B71" t="s">
        <v>605</v>
      </c>
      <c r="C71" t="s">
        <v>526</v>
      </c>
      <c r="D71" t="s">
        <v>613</v>
      </c>
      <c r="E71" t="s">
        <v>524</v>
      </c>
    </row>
    <row r="72" spans="1:5" x14ac:dyDescent="0.2">
      <c r="A72" t="s">
        <v>93</v>
      </c>
      <c r="B72" t="s">
        <v>605</v>
      </c>
      <c r="C72" t="s">
        <v>526</v>
      </c>
      <c r="D72" t="s">
        <v>614</v>
      </c>
      <c r="E72" t="s">
        <v>524</v>
      </c>
    </row>
    <row r="73" spans="1:5" x14ac:dyDescent="0.2">
      <c r="A73" t="s">
        <v>94</v>
      </c>
      <c r="B73" t="s">
        <v>605</v>
      </c>
      <c r="C73" t="s">
        <v>526</v>
      </c>
      <c r="D73" t="s">
        <v>615</v>
      </c>
      <c r="E73" t="s">
        <v>524</v>
      </c>
    </row>
    <row r="74" spans="1:5" x14ac:dyDescent="0.2">
      <c r="A74" t="s">
        <v>95</v>
      </c>
      <c r="B74" t="s">
        <v>605</v>
      </c>
      <c r="C74" t="s">
        <v>526</v>
      </c>
      <c r="D74" t="s">
        <v>616</v>
      </c>
      <c r="E74" t="s">
        <v>586</v>
      </c>
    </row>
    <row r="75" spans="1:5" x14ac:dyDescent="0.2">
      <c r="A75" t="s">
        <v>96</v>
      </c>
      <c r="B75" t="s">
        <v>605</v>
      </c>
      <c r="C75" t="s">
        <v>522</v>
      </c>
      <c r="D75" t="s">
        <v>617</v>
      </c>
      <c r="E75" t="s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data</vt:lpstr>
      <vt:lpstr>index_logic</vt:lpstr>
      <vt:lpstr>methodology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Renee Muthakana</cp:lastModifiedBy>
  <dcterms:modified xsi:type="dcterms:W3CDTF">2026-03-12T19:54:39Z</dcterms:modified>
</cp:coreProperties>
</file>